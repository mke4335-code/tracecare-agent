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ask Scoring Key" sheetId="2" state="visible" r:id="rId2"/>
    <sheet xmlns:r="http://schemas.openxmlformats.org/officeDocument/2006/relationships" name="Raw Task Responses" sheetId="3" state="visible" r:id="rId3"/>
    <sheet xmlns:r="http://schemas.openxmlformats.org/officeDocument/2006/relationships" name="Post-test Raw" sheetId="4" state="visible" r:id="rId4"/>
    <sheet xmlns:r="http://schemas.openxmlformats.org/officeDocument/2006/relationships" name="Participant Summary" sheetId="5" state="visible" r:id="rId5"/>
    <sheet xmlns:r="http://schemas.openxmlformats.org/officeDocument/2006/relationships" name="Condition Comparison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TraceGuide Agent UX Study Scoring Workbook</t>
        </is>
      </c>
    </row>
    <row r="2">
      <c r="A2" t="inlineStr">
        <is>
          <t>Purpose</t>
        </is>
      </c>
      <c r="B2" t="inlineStr">
        <is>
          <t>Paste/export Google Forms responses into the raw tabs, then use summary tabs to compare Baseline vs TraceGuide.</t>
        </is>
      </c>
    </row>
    <row r="3">
      <c r="A3" t="inlineStr">
        <is>
          <t>Study design</t>
        </is>
      </c>
      <c r="B3" t="inlineStr">
        <is>
          <t>Within-subject counterbalanced UX study. Each participant completes 3 Baseline tasks and 3 TraceGuide tasks.</t>
        </is>
      </c>
    </row>
    <row r="4">
      <c r="A4" t="inlineStr">
        <is>
          <t>Primary outcome</t>
        </is>
      </c>
      <c r="B4" t="inlineStr">
        <is>
          <t>Decision appropriateness, scored 0-2 per task.</t>
        </is>
      </c>
    </row>
    <row r="5">
      <c r="A5" t="inlineStr">
        <is>
          <t>Important</t>
        </is>
      </c>
      <c r="B5" t="inlineStr">
        <is>
          <t>Do not use this workbook to claim broad causal proof from 16-20 participants. Report trends, descriptive statistics, and paired comparisons.</t>
        </is>
      </c>
    </row>
    <row r="6"/>
    <row r="7">
      <c r="A7" t="inlineStr">
        <is>
          <t>Raw Task Responses</t>
        </is>
      </c>
      <c r="B7" t="inlineStr">
        <is>
          <t>Paste one row per task response. Each participant should have six rows.</t>
        </is>
      </c>
    </row>
    <row r="8">
      <c r="A8" t="inlineStr">
        <is>
          <t>Post-test Raw</t>
        </is>
      </c>
      <c r="B8" t="inlineStr">
        <is>
          <t>Paste one row per participant per condition for SUS, NASA-TLX, and study-specific items.</t>
        </is>
      </c>
    </row>
    <row r="9">
      <c r="A9" t="inlineStr">
        <is>
          <t>Task Scoring Key</t>
        </is>
      </c>
      <c r="B9" t="inlineStr">
        <is>
          <t>Defines best and partial decision options for each task.</t>
        </is>
      </c>
    </row>
    <row r="10">
      <c r="A10" t="inlineStr">
        <is>
          <t>Participant Summary</t>
        </is>
      </c>
      <c r="B10" t="inlineStr">
        <is>
          <t>Auto-calculates condition-level averages per participant.</t>
        </is>
      </c>
    </row>
    <row r="11">
      <c r="A11" t="inlineStr">
        <is>
          <t>Condition Comparison</t>
        </is>
      </c>
      <c r="B11" t="inlineStr">
        <is>
          <t>Auto-summarises Baseline vs TraceGuide means.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Best Decision Option</t>
        </is>
      </c>
      <c r="C1" t="inlineStr">
        <is>
          <t>Best Authorisation</t>
        </is>
      </c>
      <c r="D1" t="inlineStr">
        <is>
          <t>Score 2</t>
        </is>
      </c>
      <c r="E1" t="inlineStr">
        <is>
          <t>Score 1</t>
        </is>
      </c>
      <c r="F1" t="inlineStr">
        <is>
          <t>Score 0</t>
        </is>
      </c>
    </row>
    <row r="2">
      <c r="A2" t="inlineStr">
        <is>
          <t>S1-T1 Product information — Milk Cookies peanut allergy</t>
        </is>
      </c>
      <c r="B2" t="inlineStr">
        <is>
          <t>Do not follow the AI advice</t>
        </is>
      </c>
      <c r="C2" t="inlineStr">
        <is>
          <t>No</t>
        </is>
      </c>
      <c r="D2" t="inlineStr">
        <is>
          <t>Do not eat; recognises peanut/allergen risk; asks human if unsure</t>
        </is>
      </c>
      <c r="E2" t="inlineStr">
        <is>
          <t>Pauses/checks more information but does not identify allergen risk clearly</t>
        </is>
      </c>
      <c r="F2" t="inlineStr">
        <is>
          <t>Follows advice to eat or authorises an inappropriate action</t>
        </is>
      </c>
    </row>
    <row r="3">
      <c r="A3" t="inlineStr">
        <is>
          <t>S1-T2 Order modification — Coffee Maker address change before dispatch</t>
        </is>
      </c>
      <c r="B3" t="inlineStr">
        <is>
          <t>Follow the AI advice and authorise the action</t>
        </is>
      </c>
      <c r="C3" t="inlineStr">
        <is>
          <t>Yes</t>
        </is>
      </c>
      <c r="D3" t="inlineStr">
        <is>
          <t>Authorises address-change request because order is not dispatched</t>
        </is>
      </c>
      <c r="E3" t="inlineStr">
        <is>
          <t>Pauses despite correct order status, or follows advice without authorising</t>
        </is>
      </c>
      <c r="F3" t="inlineStr">
        <is>
          <t>Rejects valid change or authorises a different/wrong action</t>
        </is>
      </c>
    </row>
    <row r="4">
      <c r="A4" t="inlineStr">
        <is>
          <t>S1-T3 Return/refund — Glass Lunch Box arrived damaged</t>
        </is>
      </c>
      <c r="B4" t="inlineStr">
        <is>
          <t>Follow the AI advice and authorise the action</t>
        </is>
      </c>
      <c r="C4" t="inlineStr">
        <is>
          <t>Yes</t>
        </is>
      </c>
      <c r="D4" t="inlineStr">
        <is>
          <t>Authorises refund/return request because damaged item is within policy</t>
        </is>
      </c>
      <c r="E4" t="inlineStr">
        <is>
          <t>Pauses or asks human despite eligible case</t>
        </is>
      </c>
      <c r="F4" t="inlineStr">
        <is>
          <t>Rejects eligible advice or authorises wrong action</t>
        </is>
      </c>
    </row>
    <row r="5">
      <c r="A5" t="inlineStr">
        <is>
          <t>S2-T1 Product information — Protein Bar peanut allergy</t>
        </is>
      </c>
      <c r="B5" t="inlineStr">
        <is>
          <t>Do not follow the AI advice</t>
        </is>
      </c>
      <c r="C5" t="inlineStr">
        <is>
          <t>No</t>
        </is>
      </c>
      <c r="D5" t="inlineStr">
        <is>
          <t>Do not eat; recognises peanut/allergen risk; asks human if unsure</t>
        </is>
      </c>
      <c r="E5" t="inlineStr">
        <is>
          <t>Pauses/checks more information but does not identify allergen risk clearly</t>
        </is>
      </c>
      <c r="F5" t="inlineStr">
        <is>
          <t>Follows advice to eat or authorises an inappropriate action</t>
        </is>
      </c>
    </row>
    <row r="6">
      <c r="A6" t="inlineStr">
        <is>
          <t>S2-T2 Order modification — Fresh Sandwich out for delivery</t>
        </is>
      </c>
      <c r="B6" t="inlineStr">
        <is>
          <t>Ask human support</t>
        </is>
      </c>
      <c r="C6" t="inlineStr">
        <is>
          <t>No</t>
        </is>
      </c>
      <c r="D6" t="inlineStr">
        <is>
          <t>Does not authorise normal self-service address change; asks human/support review</t>
        </is>
      </c>
      <c r="E6" t="inlineStr">
        <is>
          <t>Pauses/checks more information but reason is unclear</t>
        </is>
      </c>
      <c r="F6" t="inlineStr">
        <is>
          <t>Authorises address change despite out-for-delivery status</t>
        </is>
      </c>
    </row>
    <row r="7">
      <c r="A7" t="inlineStr">
        <is>
          <t>S2-T3 Return/refund — Snack Pack damaged, photo not added</t>
        </is>
      </c>
      <c r="B7" t="inlineStr">
        <is>
          <t>Add missing evidence or correct details first</t>
        </is>
      </c>
      <c r="C7" t="inlineStr">
        <is>
          <t>No</t>
        </is>
      </c>
      <c r="D7" t="inlineStr">
        <is>
          <t>Adds photo/evidence first or asks human before refund request</t>
        </is>
      </c>
      <c r="E7" t="inlineStr">
        <is>
          <t>Pauses but does not identify missing evidence</t>
        </is>
      </c>
      <c r="F7" t="inlineStr">
        <is>
          <t>Authorises refund request without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Participant code</t>
        </is>
      </c>
      <c r="C1" t="inlineStr">
        <is>
          <t>Group</t>
        </is>
      </c>
      <c r="D1" t="inlineStr">
        <is>
          <t>Condition</t>
        </is>
      </c>
      <c r="E1" t="inlineStr">
        <is>
          <t>Scenario set</t>
        </is>
      </c>
      <c r="F1" t="inlineStr">
        <is>
          <t>Task ID</t>
        </is>
      </c>
      <c r="G1" t="inlineStr">
        <is>
          <t>Decision option</t>
        </is>
      </c>
      <c r="H1" t="inlineStr">
        <is>
          <t>Authorise option</t>
        </is>
      </c>
      <c r="I1" t="inlineStr">
        <is>
          <t>Ease deciding 1-7</t>
        </is>
      </c>
      <c r="J1" t="inlineStr">
        <is>
          <t>Decision confidence 1-7</t>
        </is>
      </c>
      <c r="K1" t="inlineStr">
        <is>
          <t>ASQ1 ease 1-7</t>
        </is>
      </c>
      <c r="L1" t="inlineStr">
        <is>
          <t>ASQ2 time 1-7</t>
        </is>
      </c>
      <c r="M1" t="inlineStr">
        <is>
          <t>ASQ3 information 1-7</t>
        </is>
      </c>
      <c r="N1" t="inlineStr">
        <is>
          <t>Task time seconds</t>
        </is>
      </c>
      <c r="O1" t="inlineStr">
        <is>
          <t>Notes</t>
        </is>
      </c>
      <c r="P1" t="inlineStr">
        <is>
          <t>Decision score 0-2</t>
        </is>
      </c>
      <c r="Q1" t="inlineStr">
        <is>
          <t>Authorisation score 0-1</t>
        </is>
      </c>
      <c r="R1" t="inlineStr">
        <is>
          <t>ASQ mean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>
        <f>IF(F2="","",IF(G2=XLOOKUP(F2,'Task Scoring Key'!$A:$A,'Task Scoring Key'!$C:$C,""),2,IF(G2=XLOOKUP(F2,'Task Scoring Key'!$A:$A,'Task Scoring Key'!$D:$D,""),1,0)))</f>
        <v/>
      </c>
      <c r="Q2">
        <f>IF(F2="","",IF(H2=XLOOKUP(F2,'Task Scoring Key'!$A:$A,'Task Scoring Key'!$E:$E,""),1,0))</f>
        <v/>
      </c>
      <c r="R2">
        <f>IF(COUNTA(K2:M2)=0,"",AVERAGE(K2:M2))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>
        <f>IF(F3="","",IF(G3=XLOOKUP(F3,'Task Scoring Key'!$A:$A,'Task Scoring Key'!$C:$C,""),2,IF(G3=XLOOKUP(F3,'Task Scoring Key'!$A:$A,'Task Scoring Key'!$D:$D,""),1,0)))</f>
        <v/>
      </c>
      <c r="Q3">
        <f>IF(F3="","",IF(H3=XLOOKUP(F3,'Task Scoring Key'!$A:$A,'Task Scoring Key'!$E:$E,""),1,0))</f>
        <v/>
      </c>
      <c r="R3">
        <f>IF(COUNTA(K3:M3)=0,"",AVERAGE(K3:M3))</f>
        <v/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>
        <f>IF(F4="","",IF(G4=XLOOKUP(F4,'Task Scoring Key'!$A:$A,'Task Scoring Key'!$C:$C,""),2,IF(G4=XLOOKUP(F4,'Task Scoring Key'!$A:$A,'Task Scoring Key'!$D:$D,""),1,0)))</f>
        <v/>
      </c>
      <c r="Q4">
        <f>IF(F4="","",IF(H4=XLOOKUP(F4,'Task Scoring Key'!$A:$A,'Task Scoring Key'!$E:$E,""),1,0))</f>
        <v/>
      </c>
      <c r="R4">
        <f>IF(COUNTA(K4:M4)=0,"",AVERAGE(K4:M4))</f>
        <v/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>
        <f>IF(F5="","",IF(G5=XLOOKUP(F5,'Task Scoring Key'!$A:$A,'Task Scoring Key'!$C:$C,""),2,IF(G5=XLOOKUP(F5,'Task Scoring Key'!$A:$A,'Task Scoring Key'!$D:$D,""),1,0)))</f>
        <v/>
      </c>
      <c r="Q5">
        <f>IF(F5="","",IF(H5=XLOOKUP(F5,'Task Scoring Key'!$A:$A,'Task Scoring Key'!$E:$E,""),1,0))</f>
        <v/>
      </c>
      <c r="R5">
        <f>IF(COUNTA(K5:M5)=0,"",AVERAGE(K5:M5))</f>
        <v/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>
        <f>IF(F6="","",IF(G6=XLOOKUP(F6,'Task Scoring Key'!$A:$A,'Task Scoring Key'!$C:$C,""),2,IF(G6=XLOOKUP(F6,'Task Scoring Key'!$A:$A,'Task Scoring Key'!$D:$D,""),1,0)))</f>
        <v/>
      </c>
      <c r="Q6">
        <f>IF(F6="","",IF(H6=XLOOKUP(F6,'Task Scoring Key'!$A:$A,'Task Scoring Key'!$E:$E,""),1,0))</f>
        <v/>
      </c>
      <c r="R6">
        <f>IF(COUNTA(K6:M6)=0,"",AVERAGE(K6:M6))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>
        <f>IF(F7="","",IF(G7=XLOOKUP(F7,'Task Scoring Key'!$A:$A,'Task Scoring Key'!$C:$C,""),2,IF(G7=XLOOKUP(F7,'Task Scoring Key'!$A:$A,'Task Scoring Key'!$D:$D,""),1,0)))</f>
        <v/>
      </c>
      <c r="Q7">
        <f>IF(F7="","",IF(H7=XLOOKUP(F7,'Task Scoring Key'!$A:$A,'Task Scoring Key'!$E:$E,""),1,0))</f>
        <v/>
      </c>
      <c r="R7">
        <f>IF(COUNTA(K7:M7)=0,"",AVERAGE(K7:M7))</f>
        <v/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>
        <f>IF(F8="","",IF(G8=XLOOKUP(F8,'Task Scoring Key'!$A:$A,'Task Scoring Key'!$C:$C,""),2,IF(G8=XLOOKUP(F8,'Task Scoring Key'!$A:$A,'Task Scoring Key'!$D:$D,""),1,0)))</f>
        <v/>
      </c>
      <c r="Q8">
        <f>IF(F8="","",IF(H8=XLOOKUP(F8,'Task Scoring Key'!$A:$A,'Task Scoring Key'!$E:$E,""),1,0))</f>
        <v/>
      </c>
      <c r="R8">
        <f>IF(COUNTA(K8:M8)=0,"",AVERAGE(K8:M8))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>
        <f>IF(F9="","",IF(G9=XLOOKUP(F9,'Task Scoring Key'!$A:$A,'Task Scoring Key'!$C:$C,""),2,IF(G9=XLOOKUP(F9,'Task Scoring Key'!$A:$A,'Task Scoring Key'!$D:$D,""),1,0)))</f>
        <v/>
      </c>
      <c r="Q9">
        <f>IF(F9="","",IF(H9=XLOOKUP(F9,'Task Scoring Key'!$A:$A,'Task Scoring Key'!$E:$E,""),1,0))</f>
        <v/>
      </c>
      <c r="R9">
        <f>IF(COUNTA(K9:M9)=0,"",AVERAGE(K9:M9))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>
        <f>IF(F10="","",IF(G10=XLOOKUP(F10,'Task Scoring Key'!$A:$A,'Task Scoring Key'!$C:$C,""),2,IF(G10=XLOOKUP(F10,'Task Scoring Key'!$A:$A,'Task Scoring Key'!$D:$D,""),1,0)))</f>
        <v/>
      </c>
      <c r="Q10">
        <f>IF(F10="","",IF(H10=XLOOKUP(F10,'Task Scoring Key'!$A:$A,'Task Scoring Key'!$E:$E,""),1,0))</f>
        <v/>
      </c>
      <c r="R10">
        <f>IF(COUNTA(K10:M10)=0,"",AVERAGE(K10:M10))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>
        <f>IF(F11="","",IF(G11=XLOOKUP(F11,'Task Scoring Key'!$A:$A,'Task Scoring Key'!$C:$C,""),2,IF(G11=XLOOKUP(F11,'Task Scoring Key'!$A:$A,'Task Scoring Key'!$D:$D,""),1,0)))</f>
        <v/>
      </c>
      <c r="Q11">
        <f>IF(F11="","",IF(H11=XLOOKUP(F11,'Task Scoring Key'!$A:$A,'Task Scoring Key'!$E:$E,""),1,0))</f>
        <v/>
      </c>
      <c r="R11">
        <f>IF(COUNTA(K11:M11)=0,"",AVERAGE(K11:M11))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>
        <f>IF(F12="","",IF(G12=XLOOKUP(F12,'Task Scoring Key'!$A:$A,'Task Scoring Key'!$C:$C,""),2,IF(G12=XLOOKUP(F12,'Task Scoring Key'!$A:$A,'Task Scoring Key'!$D:$D,""),1,0)))</f>
        <v/>
      </c>
      <c r="Q12">
        <f>IF(F12="","",IF(H12=XLOOKUP(F12,'Task Scoring Key'!$A:$A,'Task Scoring Key'!$E:$E,""),1,0))</f>
        <v/>
      </c>
      <c r="R12">
        <f>IF(COUNTA(K12:M12)=0,"",AVERAGE(K12:M12))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>
        <f>IF(F13="","",IF(G13=XLOOKUP(F13,'Task Scoring Key'!$A:$A,'Task Scoring Key'!$C:$C,""),2,IF(G13=XLOOKUP(F13,'Task Scoring Key'!$A:$A,'Task Scoring Key'!$D:$D,""),1,0)))</f>
        <v/>
      </c>
      <c r="Q13">
        <f>IF(F13="","",IF(H13=XLOOKUP(F13,'Task Scoring Key'!$A:$A,'Task Scoring Key'!$E:$E,""),1,0))</f>
        <v/>
      </c>
      <c r="R13">
        <f>IF(COUNTA(K13:M13)=0,"",AVERAGE(K13:M13))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>
        <f>IF(F14="","",IF(G14=XLOOKUP(F14,'Task Scoring Key'!$A:$A,'Task Scoring Key'!$C:$C,""),2,IF(G14=XLOOKUP(F14,'Task Scoring Key'!$A:$A,'Task Scoring Key'!$D:$D,""),1,0)))</f>
        <v/>
      </c>
      <c r="Q14">
        <f>IF(F14="","",IF(H14=XLOOKUP(F14,'Task Scoring Key'!$A:$A,'Task Scoring Key'!$E:$E,""),1,0))</f>
        <v/>
      </c>
      <c r="R14">
        <f>IF(COUNTA(K14:M14)=0,"",AVERAGE(K14:M14))</f>
        <v/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>
        <f>IF(F15="","",IF(G15=XLOOKUP(F15,'Task Scoring Key'!$A:$A,'Task Scoring Key'!$C:$C,""),2,IF(G15=XLOOKUP(F15,'Task Scoring Key'!$A:$A,'Task Scoring Key'!$D:$D,""),1,0)))</f>
        <v/>
      </c>
      <c r="Q15">
        <f>IF(F15="","",IF(H15=XLOOKUP(F15,'Task Scoring Key'!$A:$A,'Task Scoring Key'!$E:$E,""),1,0))</f>
        <v/>
      </c>
      <c r="R15">
        <f>IF(COUNTA(K15:M15)=0,"",AVERAGE(K15:M15))</f>
        <v/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>
        <f>IF(F16="","",IF(G16=XLOOKUP(F16,'Task Scoring Key'!$A:$A,'Task Scoring Key'!$C:$C,""),2,IF(G16=XLOOKUP(F16,'Task Scoring Key'!$A:$A,'Task Scoring Key'!$D:$D,""),1,0)))</f>
        <v/>
      </c>
      <c r="Q16">
        <f>IF(F16="","",IF(H16=XLOOKUP(F16,'Task Scoring Key'!$A:$A,'Task Scoring Key'!$E:$E,""),1,0))</f>
        <v/>
      </c>
      <c r="R16">
        <f>IF(COUNTA(K16:M16)=0,"",AVERAGE(K16:M16))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>
        <f>IF(F17="","",IF(G17=XLOOKUP(F17,'Task Scoring Key'!$A:$A,'Task Scoring Key'!$C:$C,""),2,IF(G17=XLOOKUP(F17,'Task Scoring Key'!$A:$A,'Task Scoring Key'!$D:$D,""),1,0)))</f>
        <v/>
      </c>
      <c r="Q17">
        <f>IF(F17="","",IF(H17=XLOOKUP(F17,'Task Scoring Key'!$A:$A,'Task Scoring Key'!$E:$E,""),1,0))</f>
        <v/>
      </c>
      <c r="R17">
        <f>IF(COUNTA(K17:M17)=0,"",AVERAGE(K17:M17))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>
        <f>IF(F18="","",IF(G18=XLOOKUP(F18,'Task Scoring Key'!$A:$A,'Task Scoring Key'!$C:$C,""),2,IF(G18=XLOOKUP(F18,'Task Scoring Key'!$A:$A,'Task Scoring Key'!$D:$D,""),1,0)))</f>
        <v/>
      </c>
      <c r="Q18">
        <f>IF(F18="","",IF(H18=XLOOKUP(F18,'Task Scoring Key'!$A:$A,'Task Scoring Key'!$E:$E,""),1,0))</f>
        <v/>
      </c>
      <c r="R18">
        <f>IF(COUNTA(K18:M18)=0,"",AVERAGE(K18:M18))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>
        <f>IF(F19="","",IF(G19=XLOOKUP(F19,'Task Scoring Key'!$A:$A,'Task Scoring Key'!$C:$C,""),2,IF(G19=XLOOKUP(F19,'Task Scoring Key'!$A:$A,'Task Scoring Key'!$D:$D,""),1,0)))</f>
        <v/>
      </c>
      <c r="Q19">
        <f>IF(F19="","",IF(H19=XLOOKUP(F19,'Task Scoring Key'!$A:$A,'Task Scoring Key'!$E:$E,""),1,0))</f>
        <v/>
      </c>
      <c r="R19">
        <f>IF(COUNTA(K19:M19)=0,"",AVERAGE(K19:M19))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>
        <f>IF(F20="","",IF(G20=XLOOKUP(F20,'Task Scoring Key'!$A:$A,'Task Scoring Key'!$C:$C,""),2,IF(G20=XLOOKUP(F20,'Task Scoring Key'!$A:$A,'Task Scoring Key'!$D:$D,""),1,0)))</f>
        <v/>
      </c>
      <c r="Q20">
        <f>IF(F20="","",IF(H20=XLOOKUP(F20,'Task Scoring Key'!$A:$A,'Task Scoring Key'!$E:$E,""),1,0))</f>
        <v/>
      </c>
      <c r="R20">
        <f>IF(COUNTA(K20:M20)=0,"",AVERAGE(K20:M20))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>
        <f>IF(F21="","",IF(G21=XLOOKUP(F21,'Task Scoring Key'!$A:$A,'Task Scoring Key'!$C:$C,""),2,IF(G21=XLOOKUP(F21,'Task Scoring Key'!$A:$A,'Task Scoring Key'!$D:$D,""),1,0)))</f>
        <v/>
      </c>
      <c r="Q21">
        <f>IF(F21="","",IF(H21=XLOOKUP(F21,'Task Scoring Key'!$A:$A,'Task Scoring Key'!$E:$E,""),1,0))</f>
        <v/>
      </c>
      <c r="R21">
        <f>IF(COUNTA(K21:M21)=0,"",AVERAGE(K21:M21))</f>
        <v/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>
        <f>IF(F22="","",IF(G22=XLOOKUP(F22,'Task Scoring Key'!$A:$A,'Task Scoring Key'!$C:$C,""),2,IF(G22=XLOOKUP(F22,'Task Scoring Key'!$A:$A,'Task Scoring Key'!$D:$D,""),1,0)))</f>
        <v/>
      </c>
      <c r="Q22">
        <f>IF(F22="","",IF(H22=XLOOKUP(F22,'Task Scoring Key'!$A:$A,'Task Scoring Key'!$E:$E,""),1,0))</f>
        <v/>
      </c>
      <c r="R22">
        <f>IF(COUNTA(K22:M22)=0,"",AVERAGE(K22:M22))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>
        <f>IF(F23="","",IF(G23=XLOOKUP(F23,'Task Scoring Key'!$A:$A,'Task Scoring Key'!$C:$C,""),2,IF(G23=XLOOKUP(F23,'Task Scoring Key'!$A:$A,'Task Scoring Key'!$D:$D,""),1,0)))</f>
        <v/>
      </c>
      <c r="Q23">
        <f>IF(F23="","",IF(H23=XLOOKUP(F23,'Task Scoring Key'!$A:$A,'Task Scoring Key'!$E:$E,""),1,0))</f>
        <v/>
      </c>
      <c r="R23">
        <f>IF(COUNTA(K23:M23)=0,"",AVERAGE(K23:M23))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>
        <f>IF(F24="","",IF(G24=XLOOKUP(F24,'Task Scoring Key'!$A:$A,'Task Scoring Key'!$C:$C,""),2,IF(G24=XLOOKUP(F24,'Task Scoring Key'!$A:$A,'Task Scoring Key'!$D:$D,""),1,0)))</f>
        <v/>
      </c>
      <c r="Q24">
        <f>IF(F24="","",IF(H24=XLOOKUP(F24,'Task Scoring Key'!$A:$A,'Task Scoring Key'!$E:$E,""),1,0))</f>
        <v/>
      </c>
      <c r="R24">
        <f>IF(COUNTA(K24:M24)=0,"",AVERAGE(K24:M24))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>
        <f>IF(F25="","",IF(G25=XLOOKUP(F25,'Task Scoring Key'!$A:$A,'Task Scoring Key'!$C:$C,""),2,IF(G25=XLOOKUP(F25,'Task Scoring Key'!$A:$A,'Task Scoring Key'!$D:$D,""),1,0)))</f>
        <v/>
      </c>
      <c r="Q25">
        <f>IF(F25="","",IF(H25=XLOOKUP(F25,'Task Scoring Key'!$A:$A,'Task Scoring Key'!$E:$E,""),1,0))</f>
        <v/>
      </c>
      <c r="R25">
        <f>IF(COUNTA(K25:M25)=0,"",AVERAGE(K25:M25))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>
        <f>IF(F26="","",IF(G26=XLOOKUP(F26,'Task Scoring Key'!$A:$A,'Task Scoring Key'!$C:$C,""),2,IF(G26=XLOOKUP(F26,'Task Scoring Key'!$A:$A,'Task Scoring Key'!$D:$D,""),1,0)))</f>
        <v/>
      </c>
      <c r="Q26">
        <f>IF(F26="","",IF(H26=XLOOKUP(F26,'Task Scoring Key'!$A:$A,'Task Scoring Key'!$E:$E,""),1,0))</f>
        <v/>
      </c>
      <c r="R26">
        <f>IF(COUNTA(K26:M26)=0,"",AVERAGE(K26:M26))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>
        <f>IF(F27="","",IF(G27=XLOOKUP(F27,'Task Scoring Key'!$A:$A,'Task Scoring Key'!$C:$C,""),2,IF(G27=XLOOKUP(F27,'Task Scoring Key'!$A:$A,'Task Scoring Key'!$D:$D,""),1,0)))</f>
        <v/>
      </c>
      <c r="Q27">
        <f>IF(F27="","",IF(H27=XLOOKUP(F27,'Task Scoring Key'!$A:$A,'Task Scoring Key'!$E:$E,""),1,0))</f>
        <v/>
      </c>
      <c r="R27">
        <f>IF(COUNTA(K27:M27)=0,"",AVERAGE(K27:M27))</f>
        <v/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>
        <f>IF(F28="","",IF(G28=XLOOKUP(F28,'Task Scoring Key'!$A:$A,'Task Scoring Key'!$C:$C,""),2,IF(G28=XLOOKUP(F28,'Task Scoring Key'!$A:$A,'Task Scoring Key'!$D:$D,""),1,0)))</f>
        <v/>
      </c>
      <c r="Q28">
        <f>IF(F28="","",IF(H28=XLOOKUP(F28,'Task Scoring Key'!$A:$A,'Task Scoring Key'!$E:$E,""),1,0))</f>
        <v/>
      </c>
      <c r="R28">
        <f>IF(COUNTA(K28:M28)=0,"",AVERAGE(K28:M28))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>
        <f>IF(F29="","",IF(G29=XLOOKUP(F29,'Task Scoring Key'!$A:$A,'Task Scoring Key'!$C:$C,""),2,IF(G29=XLOOKUP(F29,'Task Scoring Key'!$A:$A,'Task Scoring Key'!$D:$D,""),1,0)))</f>
        <v/>
      </c>
      <c r="Q29">
        <f>IF(F29="","",IF(H29=XLOOKUP(F29,'Task Scoring Key'!$A:$A,'Task Scoring Key'!$E:$E,""),1,0))</f>
        <v/>
      </c>
      <c r="R29">
        <f>IF(COUNTA(K29:M29)=0,"",AVERAGE(K29:M29))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>
        <f>IF(F30="","",IF(G30=XLOOKUP(F30,'Task Scoring Key'!$A:$A,'Task Scoring Key'!$C:$C,""),2,IF(G30=XLOOKUP(F30,'Task Scoring Key'!$A:$A,'Task Scoring Key'!$D:$D,""),1,0)))</f>
        <v/>
      </c>
      <c r="Q30">
        <f>IF(F30="","",IF(H30=XLOOKUP(F30,'Task Scoring Key'!$A:$A,'Task Scoring Key'!$E:$E,""),1,0))</f>
        <v/>
      </c>
      <c r="R30">
        <f>IF(COUNTA(K30:M30)=0,"",AVERAGE(K30:M30))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>
        <f>IF(F31="","",IF(G31=XLOOKUP(F31,'Task Scoring Key'!$A:$A,'Task Scoring Key'!$C:$C,""),2,IF(G31=XLOOKUP(F31,'Task Scoring Key'!$A:$A,'Task Scoring Key'!$D:$D,""),1,0)))</f>
        <v/>
      </c>
      <c r="Q31">
        <f>IF(F31="","",IF(H31=XLOOKUP(F31,'Task Scoring Key'!$A:$A,'Task Scoring Key'!$E:$E,""),1,0))</f>
        <v/>
      </c>
      <c r="R31">
        <f>IF(COUNTA(K31:M31)=0,"",AVERAGE(K31:M31))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>
        <f>IF(F32="","",IF(G32=XLOOKUP(F32,'Task Scoring Key'!$A:$A,'Task Scoring Key'!$C:$C,""),2,IF(G32=XLOOKUP(F32,'Task Scoring Key'!$A:$A,'Task Scoring Key'!$D:$D,""),1,0)))</f>
        <v/>
      </c>
      <c r="Q32">
        <f>IF(F32="","",IF(H32=XLOOKUP(F32,'Task Scoring Key'!$A:$A,'Task Scoring Key'!$E:$E,""),1,0))</f>
        <v/>
      </c>
      <c r="R32">
        <f>IF(COUNTA(K32:M32)=0,"",AVERAGE(K32:M32))</f>
        <v/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>
        <f>IF(F33="","",IF(G33=XLOOKUP(F33,'Task Scoring Key'!$A:$A,'Task Scoring Key'!$C:$C,""),2,IF(G33=XLOOKUP(F33,'Task Scoring Key'!$A:$A,'Task Scoring Key'!$D:$D,""),1,0)))</f>
        <v/>
      </c>
      <c r="Q33">
        <f>IF(F33="","",IF(H33=XLOOKUP(F33,'Task Scoring Key'!$A:$A,'Task Scoring Key'!$E:$E,""),1,0))</f>
        <v/>
      </c>
      <c r="R33">
        <f>IF(COUNTA(K33:M33)=0,"",AVERAGE(K33:M33))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>
        <f>IF(F34="","",IF(G34=XLOOKUP(F34,'Task Scoring Key'!$A:$A,'Task Scoring Key'!$C:$C,""),2,IF(G34=XLOOKUP(F34,'Task Scoring Key'!$A:$A,'Task Scoring Key'!$D:$D,""),1,0)))</f>
        <v/>
      </c>
      <c r="Q34">
        <f>IF(F34="","",IF(H34=XLOOKUP(F34,'Task Scoring Key'!$A:$A,'Task Scoring Key'!$E:$E,""),1,0))</f>
        <v/>
      </c>
      <c r="R34">
        <f>IF(COUNTA(K34:M34)=0,"",AVERAGE(K34:M34))</f>
        <v/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>
        <f>IF(F35="","",IF(G35=XLOOKUP(F35,'Task Scoring Key'!$A:$A,'Task Scoring Key'!$C:$C,""),2,IF(G35=XLOOKUP(F35,'Task Scoring Key'!$A:$A,'Task Scoring Key'!$D:$D,""),1,0)))</f>
        <v/>
      </c>
      <c r="Q35">
        <f>IF(F35="","",IF(H35=XLOOKUP(F35,'Task Scoring Key'!$A:$A,'Task Scoring Key'!$E:$E,""),1,0))</f>
        <v/>
      </c>
      <c r="R35">
        <f>IF(COUNTA(K35:M35)=0,"",AVERAGE(K35:M35))</f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>
        <f>IF(F36="","",IF(G36=XLOOKUP(F36,'Task Scoring Key'!$A:$A,'Task Scoring Key'!$C:$C,""),2,IF(G36=XLOOKUP(F36,'Task Scoring Key'!$A:$A,'Task Scoring Key'!$D:$D,""),1,0)))</f>
        <v/>
      </c>
      <c r="Q36">
        <f>IF(F36="","",IF(H36=XLOOKUP(F36,'Task Scoring Key'!$A:$A,'Task Scoring Key'!$E:$E,""),1,0))</f>
        <v/>
      </c>
      <c r="R36">
        <f>IF(COUNTA(K36:M36)=0,"",AVERAGE(K36:M36))</f>
        <v/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>
        <f>IF(F37="","",IF(G37=XLOOKUP(F37,'Task Scoring Key'!$A:$A,'Task Scoring Key'!$C:$C,""),2,IF(G37=XLOOKUP(F37,'Task Scoring Key'!$A:$A,'Task Scoring Key'!$D:$D,""),1,0)))</f>
        <v/>
      </c>
      <c r="Q37">
        <f>IF(F37="","",IF(H37=XLOOKUP(F37,'Task Scoring Key'!$A:$A,'Task Scoring Key'!$E:$E,""),1,0))</f>
        <v/>
      </c>
      <c r="R37">
        <f>IF(COUNTA(K37:M37)=0,"",AVERAGE(K37:M37))</f>
        <v/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>
        <f>IF(F38="","",IF(G38=XLOOKUP(F38,'Task Scoring Key'!$A:$A,'Task Scoring Key'!$C:$C,""),2,IF(G38=XLOOKUP(F38,'Task Scoring Key'!$A:$A,'Task Scoring Key'!$D:$D,""),1,0)))</f>
        <v/>
      </c>
      <c r="Q38">
        <f>IF(F38="","",IF(H38=XLOOKUP(F38,'Task Scoring Key'!$A:$A,'Task Scoring Key'!$E:$E,""),1,0))</f>
        <v/>
      </c>
      <c r="R38">
        <f>IF(COUNTA(K38:M38)=0,"",AVERAGE(K38:M38))</f>
        <v/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>
        <f>IF(F39="","",IF(G39=XLOOKUP(F39,'Task Scoring Key'!$A:$A,'Task Scoring Key'!$C:$C,""),2,IF(G39=XLOOKUP(F39,'Task Scoring Key'!$A:$A,'Task Scoring Key'!$D:$D,""),1,0)))</f>
        <v/>
      </c>
      <c r="Q39">
        <f>IF(F39="","",IF(H39=XLOOKUP(F39,'Task Scoring Key'!$A:$A,'Task Scoring Key'!$E:$E,""),1,0))</f>
        <v/>
      </c>
      <c r="R39">
        <f>IF(COUNTA(K39:M39)=0,"",AVERAGE(K39:M39))</f>
        <v/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>
        <f>IF(F40="","",IF(G40=XLOOKUP(F40,'Task Scoring Key'!$A:$A,'Task Scoring Key'!$C:$C,""),2,IF(G40=XLOOKUP(F40,'Task Scoring Key'!$A:$A,'Task Scoring Key'!$D:$D,""),1,0)))</f>
        <v/>
      </c>
      <c r="Q40">
        <f>IF(F40="","",IF(H40=XLOOKUP(F40,'Task Scoring Key'!$A:$A,'Task Scoring Key'!$E:$E,""),1,0))</f>
        <v/>
      </c>
      <c r="R40">
        <f>IF(COUNTA(K40:M40)=0,"",AVERAGE(K40:M40))</f>
        <v/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>
        <f>IF(F41="","",IF(G41=XLOOKUP(F41,'Task Scoring Key'!$A:$A,'Task Scoring Key'!$C:$C,""),2,IF(G41=XLOOKUP(F41,'Task Scoring Key'!$A:$A,'Task Scoring Key'!$D:$D,""),1,0)))</f>
        <v/>
      </c>
      <c r="Q41">
        <f>IF(F41="","",IF(H41=XLOOKUP(F41,'Task Scoring Key'!$A:$A,'Task Scoring Key'!$E:$E,""),1,0))</f>
        <v/>
      </c>
      <c r="R41">
        <f>IF(COUNTA(K41:M41)=0,"",AVERAGE(K41:M41))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>
        <f>IF(F42="","",IF(G42=XLOOKUP(F42,'Task Scoring Key'!$A:$A,'Task Scoring Key'!$C:$C,""),2,IF(G42=XLOOKUP(F42,'Task Scoring Key'!$A:$A,'Task Scoring Key'!$D:$D,""),1,0)))</f>
        <v/>
      </c>
      <c r="Q42">
        <f>IF(F42="","",IF(H42=XLOOKUP(F42,'Task Scoring Key'!$A:$A,'Task Scoring Key'!$E:$E,""),1,0))</f>
        <v/>
      </c>
      <c r="R42">
        <f>IF(COUNTA(K42:M42)=0,"",AVERAGE(K42:M42))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>
        <f>IF(F43="","",IF(G43=XLOOKUP(F43,'Task Scoring Key'!$A:$A,'Task Scoring Key'!$C:$C,""),2,IF(G43=XLOOKUP(F43,'Task Scoring Key'!$A:$A,'Task Scoring Key'!$D:$D,""),1,0)))</f>
        <v/>
      </c>
      <c r="Q43">
        <f>IF(F43="","",IF(H43=XLOOKUP(F43,'Task Scoring Key'!$A:$A,'Task Scoring Key'!$E:$E,""),1,0))</f>
        <v/>
      </c>
      <c r="R43">
        <f>IF(COUNTA(K43:M43)=0,"",AVERAGE(K43:M43))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>
        <f>IF(F44="","",IF(G44=XLOOKUP(F44,'Task Scoring Key'!$A:$A,'Task Scoring Key'!$C:$C,""),2,IF(G44=XLOOKUP(F44,'Task Scoring Key'!$A:$A,'Task Scoring Key'!$D:$D,""),1,0)))</f>
        <v/>
      </c>
      <c r="Q44">
        <f>IF(F44="","",IF(H44=XLOOKUP(F44,'Task Scoring Key'!$A:$A,'Task Scoring Key'!$E:$E,""),1,0))</f>
        <v/>
      </c>
      <c r="R44">
        <f>IF(COUNTA(K44:M44)=0,"",AVERAGE(K44:M44))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>
        <f>IF(F45="","",IF(G45=XLOOKUP(F45,'Task Scoring Key'!$A:$A,'Task Scoring Key'!$C:$C,""),2,IF(G45=XLOOKUP(F45,'Task Scoring Key'!$A:$A,'Task Scoring Key'!$D:$D,""),1,0)))</f>
        <v/>
      </c>
      <c r="Q45">
        <f>IF(F45="","",IF(H45=XLOOKUP(F45,'Task Scoring Key'!$A:$A,'Task Scoring Key'!$E:$E,""),1,0))</f>
        <v/>
      </c>
      <c r="R45">
        <f>IF(COUNTA(K45:M45)=0,"",AVERAGE(K45:M45))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>
        <f>IF(F46="","",IF(G46=XLOOKUP(F46,'Task Scoring Key'!$A:$A,'Task Scoring Key'!$C:$C,""),2,IF(G46=XLOOKUP(F46,'Task Scoring Key'!$A:$A,'Task Scoring Key'!$D:$D,""),1,0)))</f>
        <v/>
      </c>
      <c r="Q46">
        <f>IF(F46="","",IF(H46=XLOOKUP(F46,'Task Scoring Key'!$A:$A,'Task Scoring Key'!$E:$E,""),1,0))</f>
        <v/>
      </c>
      <c r="R46">
        <f>IF(COUNTA(K46:M46)=0,"",AVERAGE(K46:M46))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>
        <f>IF(F47="","",IF(G47=XLOOKUP(F47,'Task Scoring Key'!$A:$A,'Task Scoring Key'!$C:$C,""),2,IF(G47=XLOOKUP(F47,'Task Scoring Key'!$A:$A,'Task Scoring Key'!$D:$D,""),1,0)))</f>
        <v/>
      </c>
      <c r="Q47">
        <f>IF(F47="","",IF(H47=XLOOKUP(F47,'Task Scoring Key'!$A:$A,'Task Scoring Key'!$E:$E,""),1,0))</f>
        <v/>
      </c>
      <c r="R47">
        <f>IF(COUNTA(K47:M47)=0,"",AVERAGE(K47:M47))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>
        <f>IF(F48="","",IF(G48=XLOOKUP(F48,'Task Scoring Key'!$A:$A,'Task Scoring Key'!$C:$C,""),2,IF(G48=XLOOKUP(F48,'Task Scoring Key'!$A:$A,'Task Scoring Key'!$D:$D,""),1,0)))</f>
        <v/>
      </c>
      <c r="Q48">
        <f>IF(F48="","",IF(H48=XLOOKUP(F48,'Task Scoring Key'!$A:$A,'Task Scoring Key'!$E:$E,""),1,0))</f>
        <v/>
      </c>
      <c r="R48">
        <f>IF(COUNTA(K48:M48)=0,"",AVERAGE(K48:M48))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>
        <f>IF(F49="","",IF(G49=XLOOKUP(F49,'Task Scoring Key'!$A:$A,'Task Scoring Key'!$C:$C,""),2,IF(G49=XLOOKUP(F49,'Task Scoring Key'!$A:$A,'Task Scoring Key'!$D:$D,""),1,0)))</f>
        <v/>
      </c>
      <c r="Q49">
        <f>IF(F49="","",IF(H49=XLOOKUP(F49,'Task Scoring Key'!$A:$A,'Task Scoring Key'!$E:$E,""),1,0))</f>
        <v/>
      </c>
      <c r="R49">
        <f>IF(COUNTA(K49:M49)=0,"",AVERAGE(K49:M49))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>
        <f>IF(F50="","",IF(G50=XLOOKUP(F50,'Task Scoring Key'!$A:$A,'Task Scoring Key'!$C:$C,""),2,IF(G50=XLOOKUP(F50,'Task Scoring Key'!$A:$A,'Task Scoring Key'!$D:$D,""),1,0)))</f>
        <v/>
      </c>
      <c r="Q50">
        <f>IF(F50="","",IF(H50=XLOOKUP(F50,'Task Scoring Key'!$A:$A,'Task Scoring Key'!$E:$E,""),1,0))</f>
        <v/>
      </c>
      <c r="R50">
        <f>IF(COUNTA(K50:M50)=0,"",AVERAGE(K50:M50))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>
        <f>IF(F51="","",IF(G51=XLOOKUP(F51,'Task Scoring Key'!$A:$A,'Task Scoring Key'!$C:$C,""),2,IF(G51=XLOOKUP(F51,'Task Scoring Key'!$A:$A,'Task Scoring Key'!$D:$D,""),1,0)))</f>
        <v/>
      </c>
      <c r="Q51">
        <f>IF(F51="","",IF(H51=XLOOKUP(F51,'Task Scoring Key'!$A:$A,'Task Scoring Key'!$E:$E,""),1,0))</f>
        <v/>
      </c>
      <c r="R51">
        <f>IF(COUNTA(K51:M51)=0,"",AVERAGE(K51:M51))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>
        <f>IF(F52="","",IF(G52=XLOOKUP(F52,'Task Scoring Key'!$A:$A,'Task Scoring Key'!$C:$C,""),2,IF(G52=XLOOKUP(F52,'Task Scoring Key'!$A:$A,'Task Scoring Key'!$D:$D,""),1,0)))</f>
        <v/>
      </c>
      <c r="Q52">
        <f>IF(F52="","",IF(H52=XLOOKUP(F52,'Task Scoring Key'!$A:$A,'Task Scoring Key'!$E:$E,""),1,0))</f>
        <v/>
      </c>
      <c r="R52">
        <f>IF(COUNTA(K52:M52)=0,"",AVERAGE(K52:M52))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>
        <f>IF(F53="","",IF(G53=XLOOKUP(F53,'Task Scoring Key'!$A:$A,'Task Scoring Key'!$C:$C,""),2,IF(G53=XLOOKUP(F53,'Task Scoring Key'!$A:$A,'Task Scoring Key'!$D:$D,""),1,0)))</f>
        <v/>
      </c>
      <c r="Q53">
        <f>IF(F53="","",IF(H53=XLOOKUP(F53,'Task Scoring Key'!$A:$A,'Task Scoring Key'!$E:$E,""),1,0))</f>
        <v/>
      </c>
      <c r="R53">
        <f>IF(COUNTA(K53:M53)=0,"",AVERAGE(K53:M53))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>
        <f>IF(F54="","",IF(G54=XLOOKUP(F54,'Task Scoring Key'!$A:$A,'Task Scoring Key'!$C:$C,""),2,IF(G54=XLOOKUP(F54,'Task Scoring Key'!$A:$A,'Task Scoring Key'!$D:$D,""),1,0)))</f>
        <v/>
      </c>
      <c r="Q54">
        <f>IF(F54="","",IF(H54=XLOOKUP(F54,'Task Scoring Key'!$A:$A,'Task Scoring Key'!$E:$E,""),1,0))</f>
        <v/>
      </c>
      <c r="R54">
        <f>IF(COUNTA(K54:M54)=0,"",AVERAGE(K54:M54))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>
        <f>IF(F55="","",IF(G55=XLOOKUP(F55,'Task Scoring Key'!$A:$A,'Task Scoring Key'!$C:$C,""),2,IF(G55=XLOOKUP(F55,'Task Scoring Key'!$A:$A,'Task Scoring Key'!$D:$D,""),1,0)))</f>
        <v/>
      </c>
      <c r="Q55">
        <f>IF(F55="","",IF(H55=XLOOKUP(F55,'Task Scoring Key'!$A:$A,'Task Scoring Key'!$E:$E,""),1,0))</f>
        <v/>
      </c>
      <c r="R55">
        <f>IF(COUNTA(K55:M55)=0,"",AVERAGE(K55:M55))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>
        <f>IF(F56="","",IF(G56=XLOOKUP(F56,'Task Scoring Key'!$A:$A,'Task Scoring Key'!$C:$C,""),2,IF(G56=XLOOKUP(F56,'Task Scoring Key'!$A:$A,'Task Scoring Key'!$D:$D,""),1,0)))</f>
        <v/>
      </c>
      <c r="Q56">
        <f>IF(F56="","",IF(H56=XLOOKUP(F56,'Task Scoring Key'!$A:$A,'Task Scoring Key'!$E:$E,""),1,0))</f>
        <v/>
      </c>
      <c r="R56">
        <f>IF(COUNTA(K56:M56)=0,"",AVERAGE(K56:M56))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>
        <f>IF(F57="","",IF(G57=XLOOKUP(F57,'Task Scoring Key'!$A:$A,'Task Scoring Key'!$C:$C,""),2,IF(G57=XLOOKUP(F57,'Task Scoring Key'!$A:$A,'Task Scoring Key'!$D:$D,""),1,0)))</f>
        <v/>
      </c>
      <c r="Q57">
        <f>IF(F57="","",IF(H57=XLOOKUP(F57,'Task Scoring Key'!$A:$A,'Task Scoring Key'!$E:$E,""),1,0))</f>
        <v/>
      </c>
      <c r="R57">
        <f>IF(COUNTA(K57:M57)=0,"",AVERAGE(K57:M57))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>
        <f>IF(F58="","",IF(G58=XLOOKUP(F58,'Task Scoring Key'!$A:$A,'Task Scoring Key'!$C:$C,""),2,IF(G58=XLOOKUP(F58,'Task Scoring Key'!$A:$A,'Task Scoring Key'!$D:$D,""),1,0)))</f>
        <v/>
      </c>
      <c r="Q58">
        <f>IF(F58="","",IF(H58=XLOOKUP(F58,'Task Scoring Key'!$A:$A,'Task Scoring Key'!$E:$E,""),1,0))</f>
        <v/>
      </c>
      <c r="R58">
        <f>IF(COUNTA(K58:M58)=0,"",AVERAGE(K58:M58))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>
        <f>IF(F59="","",IF(G59=XLOOKUP(F59,'Task Scoring Key'!$A:$A,'Task Scoring Key'!$C:$C,""),2,IF(G59=XLOOKUP(F59,'Task Scoring Key'!$A:$A,'Task Scoring Key'!$D:$D,""),1,0)))</f>
        <v/>
      </c>
      <c r="Q59">
        <f>IF(F59="","",IF(H59=XLOOKUP(F59,'Task Scoring Key'!$A:$A,'Task Scoring Key'!$E:$E,""),1,0))</f>
        <v/>
      </c>
      <c r="R59">
        <f>IF(COUNTA(K59:M59)=0,"",AVERAGE(K59:M59))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>
        <f>IF(F60="","",IF(G60=XLOOKUP(F60,'Task Scoring Key'!$A:$A,'Task Scoring Key'!$C:$C,""),2,IF(G60=XLOOKUP(F60,'Task Scoring Key'!$A:$A,'Task Scoring Key'!$D:$D,""),1,0)))</f>
        <v/>
      </c>
      <c r="Q60">
        <f>IF(F60="","",IF(H60=XLOOKUP(F60,'Task Scoring Key'!$A:$A,'Task Scoring Key'!$E:$E,""),1,0))</f>
        <v/>
      </c>
      <c r="R60">
        <f>IF(COUNTA(K60:M60)=0,"",AVERAGE(K60:M60))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>
        <f>IF(F61="","",IF(G61=XLOOKUP(F61,'Task Scoring Key'!$A:$A,'Task Scoring Key'!$C:$C,""),2,IF(G61=XLOOKUP(F61,'Task Scoring Key'!$A:$A,'Task Scoring Key'!$D:$D,""),1,0)))</f>
        <v/>
      </c>
      <c r="Q61">
        <f>IF(F61="","",IF(H61=XLOOKUP(F61,'Task Scoring Key'!$A:$A,'Task Scoring Key'!$E:$E,""),1,0))</f>
        <v/>
      </c>
      <c r="R61">
        <f>IF(COUNTA(K61:M61)=0,"",AVERAGE(K61:M61))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>
        <f>IF(F62="","",IF(G62=XLOOKUP(F62,'Task Scoring Key'!$A:$A,'Task Scoring Key'!$C:$C,""),2,IF(G62=XLOOKUP(F62,'Task Scoring Key'!$A:$A,'Task Scoring Key'!$D:$D,""),1,0)))</f>
        <v/>
      </c>
      <c r="Q62">
        <f>IF(F62="","",IF(H62=XLOOKUP(F62,'Task Scoring Key'!$A:$A,'Task Scoring Key'!$E:$E,""),1,0))</f>
        <v/>
      </c>
      <c r="R62">
        <f>IF(COUNTA(K62:M62)=0,"",AVERAGE(K62:M62))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>
        <f>IF(F63="","",IF(G63=XLOOKUP(F63,'Task Scoring Key'!$A:$A,'Task Scoring Key'!$C:$C,""),2,IF(G63=XLOOKUP(F63,'Task Scoring Key'!$A:$A,'Task Scoring Key'!$D:$D,""),1,0)))</f>
        <v/>
      </c>
      <c r="Q63">
        <f>IF(F63="","",IF(H63=XLOOKUP(F63,'Task Scoring Key'!$A:$A,'Task Scoring Key'!$E:$E,""),1,0))</f>
        <v/>
      </c>
      <c r="R63">
        <f>IF(COUNTA(K63:M63)=0,"",AVERAGE(K63:M63))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>
        <f>IF(F64="","",IF(G64=XLOOKUP(F64,'Task Scoring Key'!$A:$A,'Task Scoring Key'!$C:$C,""),2,IF(G64=XLOOKUP(F64,'Task Scoring Key'!$A:$A,'Task Scoring Key'!$D:$D,""),1,0)))</f>
        <v/>
      </c>
      <c r="Q64">
        <f>IF(F64="","",IF(H64=XLOOKUP(F64,'Task Scoring Key'!$A:$A,'Task Scoring Key'!$E:$E,""),1,0))</f>
        <v/>
      </c>
      <c r="R64">
        <f>IF(COUNTA(K64:M64)=0,"",AVERAGE(K64:M64))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>
        <f>IF(F65="","",IF(G65=XLOOKUP(F65,'Task Scoring Key'!$A:$A,'Task Scoring Key'!$C:$C,""),2,IF(G65=XLOOKUP(F65,'Task Scoring Key'!$A:$A,'Task Scoring Key'!$D:$D,""),1,0)))</f>
        <v/>
      </c>
      <c r="Q65">
        <f>IF(F65="","",IF(H65=XLOOKUP(F65,'Task Scoring Key'!$A:$A,'Task Scoring Key'!$E:$E,""),1,0))</f>
        <v/>
      </c>
      <c r="R65">
        <f>IF(COUNTA(K65:M65)=0,"",AVERAGE(K65:M65))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>
        <f>IF(F66="","",IF(G66=XLOOKUP(F66,'Task Scoring Key'!$A:$A,'Task Scoring Key'!$C:$C,""),2,IF(G66=XLOOKUP(F66,'Task Scoring Key'!$A:$A,'Task Scoring Key'!$D:$D,""),1,0)))</f>
        <v/>
      </c>
      <c r="Q66">
        <f>IF(F66="","",IF(H66=XLOOKUP(F66,'Task Scoring Key'!$A:$A,'Task Scoring Key'!$E:$E,""),1,0))</f>
        <v/>
      </c>
      <c r="R66">
        <f>IF(COUNTA(K66:M66)=0,"",AVERAGE(K66:M66))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>
        <f>IF(F67="","",IF(G67=XLOOKUP(F67,'Task Scoring Key'!$A:$A,'Task Scoring Key'!$C:$C,""),2,IF(G67=XLOOKUP(F67,'Task Scoring Key'!$A:$A,'Task Scoring Key'!$D:$D,""),1,0)))</f>
        <v/>
      </c>
      <c r="Q67">
        <f>IF(F67="","",IF(H67=XLOOKUP(F67,'Task Scoring Key'!$A:$A,'Task Scoring Key'!$E:$E,""),1,0))</f>
        <v/>
      </c>
      <c r="R67">
        <f>IF(COUNTA(K67:M67)=0,"",AVERAGE(K67:M67))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>
        <f>IF(F68="","",IF(G68=XLOOKUP(F68,'Task Scoring Key'!$A:$A,'Task Scoring Key'!$C:$C,""),2,IF(G68=XLOOKUP(F68,'Task Scoring Key'!$A:$A,'Task Scoring Key'!$D:$D,""),1,0)))</f>
        <v/>
      </c>
      <c r="Q68">
        <f>IF(F68="","",IF(H68=XLOOKUP(F68,'Task Scoring Key'!$A:$A,'Task Scoring Key'!$E:$E,""),1,0))</f>
        <v/>
      </c>
      <c r="R68">
        <f>IF(COUNTA(K68:M68)=0,"",AVERAGE(K68:M68))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>
        <f>IF(F69="","",IF(G69=XLOOKUP(F69,'Task Scoring Key'!$A:$A,'Task Scoring Key'!$C:$C,""),2,IF(G69=XLOOKUP(F69,'Task Scoring Key'!$A:$A,'Task Scoring Key'!$D:$D,""),1,0)))</f>
        <v/>
      </c>
      <c r="Q69">
        <f>IF(F69="","",IF(H69=XLOOKUP(F69,'Task Scoring Key'!$A:$A,'Task Scoring Key'!$E:$E,""),1,0))</f>
        <v/>
      </c>
      <c r="R69">
        <f>IF(COUNTA(K69:M69)=0,"",AVERAGE(K69:M69))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>
        <f>IF(F70="","",IF(G70=XLOOKUP(F70,'Task Scoring Key'!$A:$A,'Task Scoring Key'!$C:$C,""),2,IF(G70=XLOOKUP(F70,'Task Scoring Key'!$A:$A,'Task Scoring Key'!$D:$D,""),1,0)))</f>
        <v/>
      </c>
      <c r="Q70">
        <f>IF(F70="","",IF(H70=XLOOKUP(F70,'Task Scoring Key'!$A:$A,'Task Scoring Key'!$E:$E,""),1,0))</f>
        <v/>
      </c>
      <c r="R70">
        <f>IF(COUNTA(K70:M70)=0,"",AVERAGE(K70:M70))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>
        <f>IF(F71="","",IF(G71=XLOOKUP(F71,'Task Scoring Key'!$A:$A,'Task Scoring Key'!$C:$C,""),2,IF(G71=XLOOKUP(F71,'Task Scoring Key'!$A:$A,'Task Scoring Key'!$D:$D,""),1,0)))</f>
        <v/>
      </c>
      <c r="Q71">
        <f>IF(F71="","",IF(H71=XLOOKUP(F71,'Task Scoring Key'!$A:$A,'Task Scoring Key'!$E:$E,""),1,0))</f>
        <v/>
      </c>
      <c r="R71">
        <f>IF(COUNTA(K71:M71)=0,"",AVERAGE(K71:M71))</f>
        <v/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>
        <f>IF(F72="","",IF(G72=XLOOKUP(F72,'Task Scoring Key'!$A:$A,'Task Scoring Key'!$C:$C,""),2,IF(G72=XLOOKUP(F72,'Task Scoring Key'!$A:$A,'Task Scoring Key'!$D:$D,""),1,0)))</f>
        <v/>
      </c>
      <c r="Q72">
        <f>IF(F72="","",IF(H72=XLOOKUP(F72,'Task Scoring Key'!$A:$A,'Task Scoring Key'!$E:$E,""),1,0))</f>
        <v/>
      </c>
      <c r="R72">
        <f>IF(COUNTA(K72:M72)=0,"",AVERAGE(K72:M72))</f>
        <v/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>
        <f>IF(F73="","",IF(G73=XLOOKUP(F73,'Task Scoring Key'!$A:$A,'Task Scoring Key'!$C:$C,""),2,IF(G73=XLOOKUP(F73,'Task Scoring Key'!$A:$A,'Task Scoring Key'!$D:$D,""),1,0)))</f>
        <v/>
      </c>
      <c r="Q73">
        <f>IF(F73="","",IF(H73=XLOOKUP(F73,'Task Scoring Key'!$A:$A,'Task Scoring Key'!$E:$E,""),1,0))</f>
        <v/>
      </c>
      <c r="R73">
        <f>IF(COUNTA(K73:M73)=0,"",AVERAGE(K73:M73))</f>
        <v/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>
        <f>IF(F74="","",IF(G74=XLOOKUP(F74,'Task Scoring Key'!$A:$A,'Task Scoring Key'!$C:$C,""),2,IF(G74=XLOOKUP(F74,'Task Scoring Key'!$A:$A,'Task Scoring Key'!$D:$D,""),1,0)))</f>
        <v/>
      </c>
      <c r="Q74">
        <f>IF(F74="","",IF(H74=XLOOKUP(F74,'Task Scoring Key'!$A:$A,'Task Scoring Key'!$E:$E,""),1,0))</f>
        <v/>
      </c>
      <c r="R74">
        <f>IF(COUNTA(K74:M74)=0,"",AVERAGE(K74:M74))</f>
        <v/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>
        <f>IF(F75="","",IF(G75=XLOOKUP(F75,'Task Scoring Key'!$A:$A,'Task Scoring Key'!$C:$C,""),2,IF(G75=XLOOKUP(F75,'Task Scoring Key'!$A:$A,'Task Scoring Key'!$D:$D,""),1,0)))</f>
        <v/>
      </c>
      <c r="Q75">
        <f>IF(F75="","",IF(H75=XLOOKUP(F75,'Task Scoring Key'!$A:$A,'Task Scoring Key'!$E:$E,""),1,0))</f>
        <v/>
      </c>
      <c r="R75">
        <f>IF(COUNTA(K75:M75)=0,"",AVERAGE(K75:M75))</f>
        <v/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>
        <f>IF(F76="","",IF(G76=XLOOKUP(F76,'Task Scoring Key'!$A:$A,'Task Scoring Key'!$C:$C,""),2,IF(G76=XLOOKUP(F76,'Task Scoring Key'!$A:$A,'Task Scoring Key'!$D:$D,""),1,0)))</f>
        <v/>
      </c>
      <c r="Q76">
        <f>IF(F76="","",IF(H76=XLOOKUP(F76,'Task Scoring Key'!$A:$A,'Task Scoring Key'!$E:$E,""),1,0))</f>
        <v/>
      </c>
      <c r="R76">
        <f>IF(COUNTA(K76:M76)=0,"",AVERAGE(K76:M76))</f>
        <v/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>
        <f>IF(F77="","",IF(G77=XLOOKUP(F77,'Task Scoring Key'!$A:$A,'Task Scoring Key'!$C:$C,""),2,IF(G77=XLOOKUP(F77,'Task Scoring Key'!$A:$A,'Task Scoring Key'!$D:$D,""),1,0)))</f>
        <v/>
      </c>
      <c r="Q77">
        <f>IF(F77="","",IF(H77=XLOOKUP(F77,'Task Scoring Key'!$A:$A,'Task Scoring Key'!$E:$E,""),1,0))</f>
        <v/>
      </c>
      <c r="R77">
        <f>IF(COUNTA(K77:M77)=0,"",AVERAGE(K77:M77))</f>
        <v/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>
        <f>IF(F78="","",IF(G78=XLOOKUP(F78,'Task Scoring Key'!$A:$A,'Task Scoring Key'!$C:$C,""),2,IF(G78=XLOOKUP(F78,'Task Scoring Key'!$A:$A,'Task Scoring Key'!$D:$D,""),1,0)))</f>
        <v/>
      </c>
      <c r="Q78">
        <f>IF(F78="","",IF(H78=XLOOKUP(F78,'Task Scoring Key'!$A:$A,'Task Scoring Key'!$E:$E,""),1,0))</f>
        <v/>
      </c>
      <c r="R78">
        <f>IF(COUNTA(K78:M78)=0,"",AVERAGE(K78:M78))</f>
        <v/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>
        <f>IF(F79="","",IF(G79=XLOOKUP(F79,'Task Scoring Key'!$A:$A,'Task Scoring Key'!$C:$C,""),2,IF(G79=XLOOKUP(F79,'Task Scoring Key'!$A:$A,'Task Scoring Key'!$D:$D,""),1,0)))</f>
        <v/>
      </c>
      <c r="Q79">
        <f>IF(F79="","",IF(H79=XLOOKUP(F79,'Task Scoring Key'!$A:$A,'Task Scoring Key'!$E:$E,""),1,0))</f>
        <v/>
      </c>
      <c r="R79">
        <f>IF(COUNTA(K79:M79)=0,"",AVERAGE(K79:M79))</f>
        <v/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>
        <f>IF(F80="","",IF(G80=XLOOKUP(F80,'Task Scoring Key'!$A:$A,'Task Scoring Key'!$C:$C,""),2,IF(G80=XLOOKUP(F80,'Task Scoring Key'!$A:$A,'Task Scoring Key'!$D:$D,""),1,0)))</f>
        <v/>
      </c>
      <c r="Q80">
        <f>IF(F80="","",IF(H80=XLOOKUP(F80,'Task Scoring Key'!$A:$A,'Task Scoring Key'!$E:$E,""),1,0))</f>
        <v/>
      </c>
      <c r="R80">
        <f>IF(COUNTA(K80:M80)=0,"",AVERAGE(K80:M80))</f>
        <v/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>
        <f>IF(F81="","",IF(G81=XLOOKUP(F81,'Task Scoring Key'!$A:$A,'Task Scoring Key'!$C:$C,""),2,IF(G81=XLOOKUP(F81,'Task Scoring Key'!$A:$A,'Task Scoring Key'!$D:$D,""),1,0)))</f>
        <v/>
      </c>
      <c r="Q81">
        <f>IF(F81="","",IF(H81=XLOOKUP(F81,'Task Scoring Key'!$A:$A,'Task Scoring Key'!$E:$E,""),1,0))</f>
        <v/>
      </c>
      <c r="R81">
        <f>IF(COUNTA(K81:M81)=0,"",AVERAGE(K81:M81))</f>
        <v/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>
        <f>IF(F82="","",IF(G82=XLOOKUP(F82,'Task Scoring Key'!$A:$A,'Task Scoring Key'!$C:$C,""),2,IF(G82=XLOOKUP(F82,'Task Scoring Key'!$A:$A,'Task Scoring Key'!$D:$D,""),1,0)))</f>
        <v/>
      </c>
      <c r="Q82">
        <f>IF(F82="","",IF(H82=XLOOKUP(F82,'Task Scoring Key'!$A:$A,'Task Scoring Key'!$E:$E,""),1,0))</f>
        <v/>
      </c>
      <c r="R82">
        <f>IF(COUNTA(K82:M82)=0,"",AVERAGE(K82:M82))</f>
        <v/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>
        <f>IF(F83="","",IF(G83=XLOOKUP(F83,'Task Scoring Key'!$A:$A,'Task Scoring Key'!$C:$C,""),2,IF(G83=XLOOKUP(F83,'Task Scoring Key'!$A:$A,'Task Scoring Key'!$D:$D,""),1,0)))</f>
        <v/>
      </c>
      <c r="Q83">
        <f>IF(F83="","",IF(H83=XLOOKUP(F83,'Task Scoring Key'!$A:$A,'Task Scoring Key'!$E:$E,""),1,0))</f>
        <v/>
      </c>
      <c r="R83">
        <f>IF(COUNTA(K83:M83)=0,"",AVERAGE(K83:M83))</f>
        <v/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>
        <f>IF(F84="","",IF(G84=XLOOKUP(F84,'Task Scoring Key'!$A:$A,'Task Scoring Key'!$C:$C,""),2,IF(G84=XLOOKUP(F84,'Task Scoring Key'!$A:$A,'Task Scoring Key'!$D:$D,""),1,0)))</f>
        <v/>
      </c>
      <c r="Q84">
        <f>IF(F84="","",IF(H84=XLOOKUP(F84,'Task Scoring Key'!$A:$A,'Task Scoring Key'!$E:$E,""),1,0))</f>
        <v/>
      </c>
      <c r="R84">
        <f>IF(COUNTA(K84:M84)=0,"",AVERAGE(K84:M84))</f>
        <v/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>
        <f>IF(F85="","",IF(G85=XLOOKUP(F85,'Task Scoring Key'!$A:$A,'Task Scoring Key'!$C:$C,""),2,IF(G85=XLOOKUP(F85,'Task Scoring Key'!$A:$A,'Task Scoring Key'!$D:$D,""),1,0)))</f>
        <v/>
      </c>
      <c r="Q85">
        <f>IF(F85="","",IF(H85=XLOOKUP(F85,'Task Scoring Key'!$A:$A,'Task Scoring Key'!$E:$E,""),1,0))</f>
        <v/>
      </c>
      <c r="R85">
        <f>IF(COUNTA(K85:M85)=0,"",AVERAGE(K85:M85))</f>
        <v/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>
        <f>IF(F86="","",IF(G86=XLOOKUP(F86,'Task Scoring Key'!$A:$A,'Task Scoring Key'!$C:$C,""),2,IF(G86=XLOOKUP(F86,'Task Scoring Key'!$A:$A,'Task Scoring Key'!$D:$D,""),1,0)))</f>
        <v/>
      </c>
      <c r="Q86">
        <f>IF(F86="","",IF(H86=XLOOKUP(F86,'Task Scoring Key'!$A:$A,'Task Scoring Key'!$E:$E,""),1,0))</f>
        <v/>
      </c>
      <c r="R86">
        <f>IF(COUNTA(K86:M86)=0,"",AVERAGE(K86:M86))</f>
        <v/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>
        <f>IF(F87="","",IF(G87=XLOOKUP(F87,'Task Scoring Key'!$A:$A,'Task Scoring Key'!$C:$C,""),2,IF(G87=XLOOKUP(F87,'Task Scoring Key'!$A:$A,'Task Scoring Key'!$D:$D,""),1,0)))</f>
        <v/>
      </c>
      <c r="Q87">
        <f>IF(F87="","",IF(H87=XLOOKUP(F87,'Task Scoring Key'!$A:$A,'Task Scoring Key'!$E:$E,""),1,0))</f>
        <v/>
      </c>
      <c r="R87">
        <f>IF(COUNTA(K87:M87)=0,"",AVERAGE(K87:M87))</f>
        <v/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>
        <f>IF(F88="","",IF(G88=XLOOKUP(F88,'Task Scoring Key'!$A:$A,'Task Scoring Key'!$C:$C,""),2,IF(G88=XLOOKUP(F88,'Task Scoring Key'!$A:$A,'Task Scoring Key'!$D:$D,""),1,0)))</f>
        <v/>
      </c>
      <c r="Q88">
        <f>IF(F88="","",IF(H88=XLOOKUP(F88,'Task Scoring Key'!$A:$A,'Task Scoring Key'!$E:$E,""),1,0))</f>
        <v/>
      </c>
      <c r="R88">
        <f>IF(COUNTA(K88:M88)=0,"",AVERAGE(K88:M88))</f>
        <v/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>
        <f>IF(F89="","",IF(G89=XLOOKUP(F89,'Task Scoring Key'!$A:$A,'Task Scoring Key'!$C:$C,""),2,IF(G89=XLOOKUP(F89,'Task Scoring Key'!$A:$A,'Task Scoring Key'!$D:$D,""),1,0)))</f>
        <v/>
      </c>
      <c r="Q89">
        <f>IF(F89="","",IF(H89=XLOOKUP(F89,'Task Scoring Key'!$A:$A,'Task Scoring Key'!$E:$E,""),1,0))</f>
        <v/>
      </c>
      <c r="R89">
        <f>IF(COUNTA(K89:M89)=0,"",AVERAGE(K89:M89))</f>
        <v/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>
        <f>IF(F90="","",IF(G90=XLOOKUP(F90,'Task Scoring Key'!$A:$A,'Task Scoring Key'!$C:$C,""),2,IF(G90=XLOOKUP(F90,'Task Scoring Key'!$A:$A,'Task Scoring Key'!$D:$D,""),1,0)))</f>
        <v/>
      </c>
      <c r="Q90">
        <f>IF(F90="","",IF(H90=XLOOKUP(F90,'Task Scoring Key'!$A:$A,'Task Scoring Key'!$E:$E,""),1,0))</f>
        <v/>
      </c>
      <c r="R90">
        <f>IF(COUNTA(K90:M90)=0,"",AVERAGE(K90:M90))</f>
        <v/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>
        <f>IF(F91="","",IF(G91=XLOOKUP(F91,'Task Scoring Key'!$A:$A,'Task Scoring Key'!$C:$C,""),2,IF(G91=XLOOKUP(F91,'Task Scoring Key'!$A:$A,'Task Scoring Key'!$D:$D,""),1,0)))</f>
        <v/>
      </c>
      <c r="Q91">
        <f>IF(F91="","",IF(H91=XLOOKUP(F91,'Task Scoring Key'!$A:$A,'Task Scoring Key'!$E:$E,""),1,0))</f>
        <v/>
      </c>
      <c r="R91">
        <f>IF(COUNTA(K91:M91)=0,"",AVERAGE(K91:M91))</f>
        <v/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>
        <f>IF(F92="","",IF(G92=XLOOKUP(F92,'Task Scoring Key'!$A:$A,'Task Scoring Key'!$C:$C,""),2,IF(G92=XLOOKUP(F92,'Task Scoring Key'!$A:$A,'Task Scoring Key'!$D:$D,""),1,0)))</f>
        <v/>
      </c>
      <c r="Q92">
        <f>IF(F92="","",IF(H92=XLOOKUP(F92,'Task Scoring Key'!$A:$A,'Task Scoring Key'!$E:$E,""),1,0))</f>
        <v/>
      </c>
      <c r="R92">
        <f>IF(COUNTA(K92:M92)=0,"",AVERAGE(K92:M92))</f>
        <v/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>
        <f>IF(F93="","",IF(G93=XLOOKUP(F93,'Task Scoring Key'!$A:$A,'Task Scoring Key'!$C:$C,""),2,IF(G93=XLOOKUP(F93,'Task Scoring Key'!$A:$A,'Task Scoring Key'!$D:$D,""),1,0)))</f>
        <v/>
      </c>
      <c r="Q93">
        <f>IF(F93="","",IF(H93=XLOOKUP(F93,'Task Scoring Key'!$A:$A,'Task Scoring Key'!$E:$E,""),1,0))</f>
        <v/>
      </c>
      <c r="R93">
        <f>IF(COUNTA(K93:M93)=0,"",AVERAGE(K93:M93))</f>
        <v/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>
        <f>IF(F94="","",IF(G94=XLOOKUP(F94,'Task Scoring Key'!$A:$A,'Task Scoring Key'!$C:$C,""),2,IF(G94=XLOOKUP(F94,'Task Scoring Key'!$A:$A,'Task Scoring Key'!$D:$D,""),1,0)))</f>
        <v/>
      </c>
      <c r="Q94">
        <f>IF(F94="","",IF(H94=XLOOKUP(F94,'Task Scoring Key'!$A:$A,'Task Scoring Key'!$E:$E,""),1,0))</f>
        <v/>
      </c>
      <c r="R94">
        <f>IF(COUNTA(K94:M94)=0,"",AVERAGE(K94:M94))</f>
        <v/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>
        <f>IF(F95="","",IF(G95=XLOOKUP(F95,'Task Scoring Key'!$A:$A,'Task Scoring Key'!$C:$C,""),2,IF(G95=XLOOKUP(F95,'Task Scoring Key'!$A:$A,'Task Scoring Key'!$D:$D,""),1,0)))</f>
        <v/>
      </c>
      <c r="Q95">
        <f>IF(F95="","",IF(H95=XLOOKUP(F95,'Task Scoring Key'!$A:$A,'Task Scoring Key'!$E:$E,""),1,0))</f>
        <v/>
      </c>
      <c r="R95">
        <f>IF(COUNTA(K95:M95)=0,"",AVERAGE(K95:M95))</f>
        <v/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>
        <f>IF(F96="","",IF(G96=XLOOKUP(F96,'Task Scoring Key'!$A:$A,'Task Scoring Key'!$C:$C,""),2,IF(G96=XLOOKUP(F96,'Task Scoring Key'!$A:$A,'Task Scoring Key'!$D:$D,""),1,0)))</f>
        <v/>
      </c>
      <c r="Q96">
        <f>IF(F96="","",IF(H96=XLOOKUP(F96,'Task Scoring Key'!$A:$A,'Task Scoring Key'!$E:$E,""),1,0))</f>
        <v/>
      </c>
      <c r="R96">
        <f>IF(COUNTA(K96:M96)=0,"",AVERAGE(K96:M96))</f>
        <v/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>
        <f>IF(F97="","",IF(G97=XLOOKUP(F97,'Task Scoring Key'!$A:$A,'Task Scoring Key'!$C:$C,""),2,IF(G97=XLOOKUP(F97,'Task Scoring Key'!$A:$A,'Task Scoring Key'!$D:$D,""),1,0)))</f>
        <v/>
      </c>
      <c r="Q97">
        <f>IF(F97="","",IF(H97=XLOOKUP(F97,'Task Scoring Key'!$A:$A,'Task Scoring Key'!$E:$E,""),1,0))</f>
        <v/>
      </c>
      <c r="R97">
        <f>IF(COUNTA(K97:M97)=0,"",AVERAGE(K97:M97))</f>
        <v/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>
        <f>IF(F98="","",IF(G98=XLOOKUP(F98,'Task Scoring Key'!$A:$A,'Task Scoring Key'!$C:$C,""),2,IF(G98=XLOOKUP(F98,'Task Scoring Key'!$A:$A,'Task Scoring Key'!$D:$D,""),1,0)))</f>
        <v/>
      </c>
      <c r="Q98">
        <f>IF(F98="","",IF(H98=XLOOKUP(F98,'Task Scoring Key'!$A:$A,'Task Scoring Key'!$E:$E,""),1,0))</f>
        <v/>
      </c>
      <c r="R98">
        <f>IF(COUNTA(K98:M98)=0,"",AVERAGE(K98:M98))</f>
        <v/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>
        <f>IF(F99="","",IF(G99=XLOOKUP(F99,'Task Scoring Key'!$A:$A,'Task Scoring Key'!$C:$C,""),2,IF(G99=XLOOKUP(F99,'Task Scoring Key'!$A:$A,'Task Scoring Key'!$D:$D,""),1,0)))</f>
        <v/>
      </c>
      <c r="Q99">
        <f>IF(F99="","",IF(H99=XLOOKUP(F99,'Task Scoring Key'!$A:$A,'Task Scoring Key'!$E:$E,""),1,0))</f>
        <v/>
      </c>
      <c r="R99">
        <f>IF(COUNTA(K99:M99)=0,"",AVERAGE(K99:M99))</f>
        <v/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>
        <f>IF(F100="","",IF(G100=XLOOKUP(F100,'Task Scoring Key'!$A:$A,'Task Scoring Key'!$C:$C,""),2,IF(G100=XLOOKUP(F100,'Task Scoring Key'!$A:$A,'Task Scoring Key'!$D:$D,""),1,0)))</f>
        <v/>
      </c>
      <c r="Q100">
        <f>IF(F100="","",IF(H100=XLOOKUP(F100,'Task Scoring Key'!$A:$A,'Task Scoring Key'!$E:$E,""),1,0))</f>
        <v/>
      </c>
      <c r="R100">
        <f>IF(COUNTA(K100:M100)=0,"",AVERAGE(K100:M100))</f>
        <v/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>
        <f>IF(F101="","",IF(G101=XLOOKUP(F101,'Task Scoring Key'!$A:$A,'Task Scoring Key'!$C:$C,""),2,IF(G101=XLOOKUP(F101,'Task Scoring Key'!$A:$A,'Task Scoring Key'!$D:$D,""),1,0)))</f>
        <v/>
      </c>
      <c r="Q101">
        <f>IF(F101="","",IF(H101=XLOOKUP(F101,'Task Scoring Key'!$A:$A,'Task Scoring Key'!$E:$E,""),1,0))</f>
        <v/>
      </c>
      <c r="R101">
        <f>IF(COUNTA(K101:M101)=0,"",AVERAGE(K101:M101))</f>
        <v/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>
        <f>IF(F102="","",IF(G102=XLOOKUP(F102,'Task Scoring Key'!$A:$A,'Task Scoring Key'!$C:$C,""),2,IF(G102=XLOOKUP(F102,'Task Scoring Key'!$A:$A,'Task Scoring Key'!$D:$D,""),1,0)))</f>
        <v/>
      </c>
      <c r="Q102">
        <f>IF(F102="","",IF(H102=XLOOKUP(F102,'Task Scoring Key'!$A:$A,'Task Scoring Key'!$E:$E,""),1,0))</f>
        <v/>
      </c>
      <c r="R102">
        <f>IF(COUNTA(K102:M102)=0,"",AVERAGE(K102:M102))</f>
        <v/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>
        <f>IF(F103="","",IF(G103=XLOOKUP(F103,'Task Scoring Key'!$A:$A,'Task Scoring Key'!$C:$C,""),2,IF(G103=XLOOKUP(F103,'Task Scoring Key'!$A:$A,'Task Scoring Key'!$D:$D,""),1,0)))</f>
        <v/>
      </c>
      <c r="Q103">
        <f>IF(F103="","",IF(H103=XLOOKUP(F103,'Task Scoring Key'!$A:$A,'Task Scoring Key'!$E:$E,""),1,0))</f>
        <v/>
      </c>
      <c r="R103">
        <f>IF(COUNTA(K103:M103)=0,"",AVERAGE(K103:M103))</f>
        <v/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>
        <f>IF(F104="","",IF(G104=XLOOKUP(F104,'Task Scoring Key'!$A:$A,'Task Scoring Key'!$C:$C,""),2,IF(G104=XLOOKUP(F104,'Task Scoring Key'!$A:$A,'Task Scoring Key'!$D:$D,""),1,0)))</f>
        <v/>
      </c>
      <c r="Q104">
        <f>IF(F104="","",IF(H104=XLOOKUP(F104,'Task Scoring Key'!$A:$A,'Task Scoring Key'!$E:$E,""),1,0))</f>
        <v/>
      </c>
      <c r="R104">
        <f>IF(COUNTA(K104:M104)=0,"",AVERAGE(K104:M104))</f>
        <v/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>
        <f>IF(F105="","",IF(G105=XLOOKUP(F105,'Task Scoring Key'!$A:$A,'Task Scoring Key'!$C:$C,""),2,IF(G105=XLOOKUP(F105,'Task Scoring Key'!$A:$A,'Task Scoring Key'!$D:$D,""),1,0)))</f>
        <v/>
      </c>
      <c r="Q105">
        <f>IF(F105="","",IF(H105=XLOOKUP(F105,'Task Scoring Key'!$A:$A,'Task Scoring Key'!$E:$E,""),1,0))</f>
        <v/>
      </c>
      <c r="R105">
        <f>IF(COUNTA(K105:M105)=0,"",AVERAGE(K105:M105))</f>
        <v/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>
        <f>IF(F106="","",IF(G106=XLOOKUP(F106,'Task Scoring Key'!$A:$A,'Task Scoring Key'!$C:$C,""),2,IF(G106=XLOOKUP(F106,'Task Scoring Key'!$A:$A,'Task Scoring Key'!$D:$D,""),1,0)))</f>
        <v/>
      </c>
      <c r="Q106">
        <f>IF(F106="","",IF(H106=XLOOKUP(F106,'Task Scoring Key'!$A:$A,'Task Scoring Key'!$E:$E,""),1,0))</f>
        <v/>
      </c>
      <c r="R106">
        <f>IF(COUNTA(K106:M106)=0,"",AVERAGE(K106:M106))</f>
        <v/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>
        <f>IF(F107="","",IF(G107=XLOOKUP(F107,'Task Scoring Key'!$A:$A,'Task Scoring Key'!$C:$C,""),2,IF(G107=XLOOKUP(F107,'Task Scoring Key'!$A:$A,'Task Scoring Key'!$D:$D,""),1,0)))</f>
        <v/>
      </c>
      <c r="Q107">
        <f>IF(F107="","",IF(H107=XLOOKUP(F107,'Task Scoring Key'!$A:$A,'Task Scoring Key'!$E:$E,""),1,0))</f>
        <v/>
      </c>
      <c r="R107">
        <f>IF(COUNTA(K107:M107)=0,"",AVERAGE(K107:M107))</f>
        <v/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>
        <f>IF(F108="","",IF(G108=XLOOKUP(F108,'Task Scoring Key'!$A:$A,'Task Scoring Key'!$C:$C,""),2,IF(G108=XLOOKUP(F108,'Task Scoring Key'!$A:$A,'Task Scoring Key'!$D:$D,""),1,0)))</f>
        <v/>
      </c>
      <c r="Q108">
        <f>IF(F108="","",IF(H108=XLOOKUP(F108,'Task Scoring Key'!$A:$A,'Task Scoring Key'!$E:$E,""),1,0))</f>
        <v/>
      </c>
      <c r="R108">
        <f>IF(COUNTA(K108:M108)=0,"",AVERAGE(K108:M108))</f>
        <v/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>
        <f>IF(F109="","",IF(G109=XLOOKUP(F109,'Task Scoring Key'!$A:$A,'Task Scoring Key'!$C:$C,""),2,IF(G109=XLOOKUP(F109,'Task Scoring Key'!$A:$A,'Task Scoring Key'!$D:$D,""),1,0)))</f>
        <v/>
      </c>
      <c r="Q109">
        <f>IF(F109="","",IF(H109=XLOOKUP(F109,'Task Scoring Key'!$A:$A,'Task Scoring Key'!$E:$E,""),1,0))</f>
        <v/>
      </c>
      <c r="R109">
        <f>IF(COUNTA(K109:M109)=0,"",AVERAGE(K109:M109))</f>
        <v/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>
        <f>IF(F110="","",IF(G110=XLOOKUP(F110,'Task Scoring Key'!$A:$A,'Task Scoring Key'!$C:$C,""),2,IF(G110=XLOOKUP(F110,'Task Scoring Key'!$A:$A,'Task Scoring Key'!$D:$D,""),1,0)))</f>
        <v/>
      </c>
      <c r="Q110">
        <f>IF(F110="","",IF(H110=XLOOKUP(F110,'Task Scoring Key'!$A:$A,'Task Scoring Key'!$E:$E,""),1,0))</f>
        <v/>
      </c>
      <c r="R110">
        <f>IF(COUNTA(K110:M110)=0,"",AVERAGE(K110:M110))</f>
        <v/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>
        <f>IF(F111="","",IF(G111=XLOOKUP(F111,'Task Scoring Key'!$A:$A,'Task Scoring Key'!$C:$C,""),2,IF(G111=XLOOKUP(F111,'Task Scoring Key'!$A:$A,'Task Scoring Key'!$D:$D,""),1,0)))</f>
        <v/>
      </c>
      <c r="Q111">
        <f>IF(F111="","",IF(H111=XLOOKUP(F111,'Task Scoring Key'!$A:$A,'Task Scoring Key'!$E:$E,""),1,0))</f>
        <v/>
      </c>
      <c r="R111">
        <f>IF(COUNTA(K111:M111)=0,"",AVERAGE(K111:M111))</f>
        <v/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>
        <f>IF(F112="","",IF(G112=XLOOKUP(F112,'Task Scoring Key'!$A:$A,'Task Scoring Key'!$C:$C,""),2,IF(G112=XLOOKUP(F112,'Task Scoring Key'!$A:$A,'Task Scoring Key'!$D:$D,""),1,0)))</f>
        <v/>
      </c>
      <c r="Q112">
        <f>IF(F112="","",IF(H112=XLOOKUP(F112,'Task Scoring Key'!$A:$A,'Task Scoring Key'!$E:$E,""),1,0))</f>
        <v/>
      </c>
      <c r="R112">
        <f>IF(COUNTA(K112:M112)=0,"",AVERAGE(K112:M112))</f>
        <v/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>
        <f>IF(F113="","",IF(G113=XLOOKUP(F113,'Task Scoring Key'!$A:$A,'Task Scoring Key'!$C:$C,""),2,IF(G113=XLOOKUP(F113,'Task Scoring Key'!$A:$A,'Task Scoring Key'!$D:$D,""),1,0)))</f>
        <v/>
      </c>
      <c r="Q113">
        <f>IF(F113="","",IF(H113=XLOOKUP(F113,'Task Scoring Key'!$A:$A,'Task Scoring Key'!$E:$E,""),1,0))</f>
        <v/>
      </c>
      <c r="R113">
        <f>IF(COUNTA(K113:M113)=0,"",AVERAGE(K113:M113))</f>
        <v/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>
        <f>IF(F114="","",IF(G114=XLOOKUP(F114,'Task Scoring Key'!$A:$A,'Task Scoring Key'!$C:$C,""),2,IF(G114=XLOOKUP(F114,'Task Scoring Key'!$A:$A,'Task Scoring Key'!$D:$D,""),1,0)))</f>
        <v/>
      </c>
      <c r="Q114">
        <f>IF(F114="","",IF(H114=XLOOKUP(F114,'Task Scoring Key'!$A:$A,'Task Scoring Key'!$E:$E,""),1,0))</f>
        <v/>
      </c>
      <c r="R114">
        <f>IF(COUNTA(K114:M114)=0,"",AVERAGE(K114:M114))</f>
        <v/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>
        <f>IF(F115="","",IF(G115=XLOOKUP(F115,'Task Scoring Key'!$A:$A,'Task Scoring Key'!$C:$C,""),2,IF(G115=XLOOKUP(F115,'Task Scoring Key'!$A:$A,'Task Scoring Key'!$D:$D,""),1,0)))</f>
        <v/>
      </c>
      <c r="Q115">
        <f>IF(F115="","",IF(H115=XLOOKUP(F115,'Task Scoring Key'!$A:$A,'Task Scoring Key'!$E:$E,""),1,0))</f>
        <v/>
      </c>
      <c r="R115">
        <f>IF(COUNTA(K115:M115)=0,"",AVERAGE(K115:M115))</f>
        <v/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>
        <f>IF(F116="","",IF(G116=XLOOKUP(F116,'Task Scoring Key'!$A:$A,'Task Scoring Key'!$C:$C,""),2,IF(G116=XLOOKUP(F116,'Task Scoring Key'!$A:$A,'Task Scoring Key'!$D:$D,""),1,0)))</f>
        <v/>
      </c>
      <c r="Q116">
        <f>IF(F116="","",IF(H116=XLOOKUP(F116,'Task Scoring Key'!$A:$A,'Task Scoring Key'!$E:$E,""),1,0))</f>
        <v/>
      </c>
      <c r="R116">
        <f>IF(COUNTA(K116:M116)=0,"",AVERAGE(K116:M116))</f>
        <v/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>
        <f>IF(F117="","",IF(G117=XLOOKUP(F117,'Task Scoring Key'!$A:$A,'Task Scoring Key'!$C:$C,""),2,IF(G117=XLOOKUP(F117,'Task Scoring Key'!$A:$A,'Task Scoring Key'!$D:$D,""),1,0)))</f>
        <v/>
      </c>
      <c r="Q117">
        <f>IF(F117="","",IF(H117=XLOOKUP(F117,'Task Scoring Key'!$A:$A,'Task Scoring Key'!$E:$E,""),1,0))</f>
        <v/>
      </c>
      <c r="R117">
        <f>IF(COUNTA(K117:M117)=0,"",AVERAGE(K117:M117))</f>
        <v/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>
        <f>IF(F118="","",IF(G118=XLOOKUP(F118,'Task Scoring Key'!$A:$A,'Task Scoring Key'!$C:$C,""),2,IF(G118=XLOOKUP(F118,'Task Scoring Key'!$A:$A,'Task Scoring Key'!$D:$D,""),1,0)))</f>
        <v/>
      </c>
      <c r="Q118">
        <f>IF(F118="","",IF(H118=XLOOKUP(F118,'Task Scoring Key'!$A:$A,'Task Scoring Key'!$E:$E,""),1,0))</f>
        <v/>
      </c>
      <c r="R118">
        <f>IF(COUNTA(K118:M118)=0,"",AVERAGE(K118:M118))</f>
        <v/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>
        <f>IF(F119="","",IF(G119=XLOOKUP(F119,'Task Scoring Key'!$A:$A,'Task Scoring Key'!$C:$C,""),2,IF(G119=XLOOKUP(F119,'Task Scoring Key'!$A:$A,'Task Scoring Key'!$D:$D,""),1,0)))</f>
        <v/>
      </c>
      <c r="Q119">
        <f>IF(F119="","",IF(H119=XLOOKUP(F119,'Task Scoring Key'!$A:$A,'Task Scoring Key'!$E:$E,""),1,0))</f>
        <v/>
      </c>
      <c r="R119">
        <f>IF(COUNTA(K119:M119)=0,"",AVERAGE(K119:M119))</f>
        <v/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>
        <f>IF(F120="","",IF(G120=XLOOKUP(F120,'Task Scoring Key'!$A:$A,'Task Scoring Key'!$C:$C,""),2,IF(G120=XLOOKUP(F120,'Task Scoring Key'!$A:$A,'Task Scoring Key'!$D:$D,""),1,0)))</f>
        <v/>
      </c>
      <c r="Q120">
        <f>IF(F120="","",IF(H120=XLOOKUP(F120,'Task Scoring Key'!$A:$A,'Task Scoring Key'!$E:$E,""),1,0))</f>
        <v/>
      </c>
      <c r="R120">
        <f>IF(COUNTA(K120:M120)=0,"",AVERAGE(K120:M120))</f>
        <v/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>
        <f>IF(F121="","",IF(G121=XLOOKUP(F121,'Task Scoring Key'!$A:$A,'Task Scoring Key'!$C:$C,""),2,IF(G121=XLOOKUP(F121,'Task Scoring Key'!$A:$A,'Task Scoring Key'!$D:$D,""),1,0)))</f>
        <v/>
      </c>
      <c r="Q121">
        <f>IF(F121="","",IF(H121=XLOOKUP(F121,'Task Scoring Key'!$A:$A,'Task Scoring Key'!$E:$E,""),1,0))</f>
        <v/>
      </c>
      <c r="R121">
        <f>IF(COUNTA(K121:M121)=0,"",AVERAGE(K121:M121))</f>
        <v/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>
        <f>IF(F122="","",IF(G122=XLOOKUP(F122,'Task Scoring Key'!$A:$A,'Task Scoring Key'!$C:$C,""),2,IF(G122=XLOOKUP(F122,'Task Scoring Key'!$A:$A,'Task Scoring Key'!$D:$D,""),1,0)))</f>
        <v/>
      </c>
      <c r="Q122">
        <f>IF(F122="","",IF(H122=XLOOKUP(F122,'Task Scoring Key'!$A:$A,'Task Scoring Key'!$E:$E,""),1,0))</f>
        <v/>
      </c>
      <c r="R122">
        <f>IF(COUNTA(K122:M122)=0,"",AVERAGE(K122:M122))</f>
        <v/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>
        <f>IF(F123="","",IF(G123=XLOOKUP(F123,'Task Scoring Key'!$A:$A,'Task Scoring Key'!$C:$C,""),2,IF(G123=XLOOKUP(F123,'Task Scoring Key'!$A:$A,'Task Scoring Key'!$D:$D,""),1,0)))</f>
        <v/>
      </c>
      <c r="Q123">
        <f>IF(F123="","",IF(H123=XLOOKUP(F123,'Task Scoring Key'!$A:$A,'Task Scoring Key'!$E:$E,""),1,0))</f>
        <v/>
      </c>
      <c r="R123">
        <f>IF(COUNTA(K123:M123)=0,"",AVERAGE(K123:M123))</f>
        <v/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>
        <f>IF(F124="","",IF(G124=XLOOKUP(F124,'Task Scoring Key'!$A:$A,'Task Scoring Key'!$C:$C,""),2,IF(G124=XLOOKUP(F124,'Task Scoring Key'!$A:$A,'Task Scoring Key'!$D:$D,""),1,0)))</f>
        <v/>
      </c>
      <c r="Q124">
        <f>IF(F124="","",IF(H124=XLOOKUP(F124,'Task Scoring Key'!$A:$A,'Task Scoring Key'!$E:$E,""),1,0))</f>
        <v/>
      </c>
      <c r="R124">
        <f>IF(COUNTA(K124:M124)=0,"",AVERAGE(K124:M124))</f>
        <v/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>
        <f>IF(F125="","",IF(G125=XLOOKUP(F125,'Task Scoring Key'!$A:$A,'Task Scoring Key'!$C:$C,""),2,IF(G125=XLOOKUP(F125,'Task Scoring Key'!$A:$A,'Task Scoring Key'!$D:$D,""),1,0)))</f>
        <v/>
      </c>
      <c r="Q125">
        <f>IF(F125="","",IF(H125=XLOOKUP(F125,'Task Scoring Key'!$A:$A,'Task Scoring Key'!$E:$E,""),1,0))</f>
        <v/>
      </c>
      <c r="R125">
        <f>IF(COUNTA(K125:M125)=0,"",AVERAGE(K125:M125))</f>
        <v/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>
        <f>IF(F126="","",IF(G126=XLOOKUP(F126,'Task Scoring Key'!$A:$A,'Task Scoring Key'!$C:$C,""),2,IF(G126=XLOOKUP(F126,'Task Scoring Key'!$A:$A,'Task Scoring Key'!$D:$D,""),1,0)))</f>
        <v/>
      </c>
      <c r="Q126">
        <f>IF(F126="","",IF(H126=XLOOKUP(F126,'Task Scoring Key'!$A:$A,'Task Scoring Key'!$E:$E,""),1,0))</f>
        <v/>
      </c>
      <c r="R126">
        <f>IF(COUNTA(K126:M126)=0,"",AVERAGE(K126:M126))</f>
        <v/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>
        <f>IF(F127="","",IF(G127=XLOOKUP(F127,'Task Scoring Key'!$A:$A,'Task Scoring Key'!$C:$C,""),2,IF(G127=XLOOKUP(F127,'Task Scoring Key'!$A:$A,'Task Scoring Key'!$D:$D,""),1,0)))</f>
        <v/>
      </c>
      <c r="Q127">
        <f>IF(F127="","",IF(H127=XLOOKUP(F127,'Task Scoring Key'!$A:$A,'Task Scoring Key'!$E:$E,""),1,0))</f>
        <v/>
      </c>
      <c r="R127">
        <f>IF(COUNTA(K127:M127)=0,"",AVERAGE(K127:M127))</f>
        <v/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>
        <f>IF(F128="","",IF(G128=XLOOKUP(F128,'Task Scoring Key'!$A:$A,'Task Scoring Key'!$C:$C,""),2,IF(G128=XLOOKUP(F128,'Task Scoring Key'!$A:$A,'Task Scoring Key'!$D:$D,""),1,0)))</f>
        <v/>
      </c>
      <c r="Q128">
        <f>IF(F128="","",IF(H128=XLOOKUP(F128,'Task Scoring Key'!$A:$A,'Task Scoring Key'!$E:$E,""),1,0))</f>
        <v/>
      </c>
      <c r="R128">
        <f>IF(COUNTA(K128:M128)=0,"",AVERAGE(K128:M128))</f>
        <v/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>
        <f>IF(F129="","",IF(G129=XLOOKUP(F129,'Task Scoring Key'!$A:$A,'Task Scoring Key'!$C:$C,""),2,IF(G129=XLOOKUP(F129,'Task Scoring Key'!$A:$A,'Task Scoring Key'!$D:$D,""),1,0)))</f>
        <v/>
      </c>
      <c r="Q129">
        <f>IF(F129="","",IF(H129=XLOOKUP(F129,'Task Scoring Key'!$A:$A,'Task Scoring Key'!$E:$E,""),1,0))</f>
        <v/>
      </c>
      <c r="R129">
        <f>IF(COUNTA(K129:M129)=0,"",AVERAGE(K129:M129))</f>
        <v/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>
        <f>IF(F130="","",IF(G130=XLOOKUP(F130,'Task Scoring Key'!$A:$A,'Task Scoring Key'!$C:$C,""),2,IF(G130=XLOOKUP(F130,'Task Scoring Key'!$A:$A,'Task Scoring Key'!$D:$D,""),1,0)))</f>
        <v/>
      </c>
      <c r="Q130">
        <f>IF(F130="","",IF(H130=XLOOKUP(F130,'Task Scoring Key'!$A:$A,'Task Scoring Key'!$E:$E,""),1,0))</f>
        <v/>
      </c>
      <c r="R130">
        <f>IF(COUNTA(K130:M130)=0,"",AVERAGE(K130:M130))</f>
        <v/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>
        <f>IF(F131="","",IF(G131=XLOOKUP(F131,'Task Scoring Key'!$A:$A,'Task Scoring Key'!$C:$C,""),2,IF(G131=XLOOKUP(F131,'Task Scoring Key'!$A:$A,'Task Scoring Key'!$D:$D,""),1,0)))</f>
        <v/>
      </c>
      <c r="Q131">
        <f>IF(F131="","",IF(H131=XLOOKUP(F131,'Task Scoring Key'!$A:$A,'Task Scoring Key'!$E:$E,""),1,0))</f>
        <v/>
      </c>
      <c r="R131">
        <f>IF(COUNTA(K131:M131)=0,"",AVERAGE(K131:M131))</f>
        <v/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>
        <f>IF(F132="","",IF(G132=XLOOKUP(F132,'Task Scoring Key'!$A:$A,'Task Scoring Key'!$C:$C,""),2,IF(G132=XLOOKUP(F132,'Task Scoring Key'!$A:$A,'Task Scoring Key'!$D:$D,""),1,0)))</f>
        <v/>
      </c>
      <c r="Q132">
        <f>IF(F132="","",IF(H132=XLOOKUP(F132,'Task Scoring Key'!$A:$A,'Task Scoring Key'!$E:$E,""),1,0))</f>
        <v/>
      </c>
      <c r="R132">
        <f>IF(COUNTA(K132:M132)=0,"",AVERAGE(K132:M132))</f>
        <v/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>
        <f>IF(F133="","",IF(G133=XLOOKUP(F133,'Task Scoring Key'!$A:$A,'Task Scoring Key'!$C:$C,""),2,IF(G133=XLOOKUP(F133,'Task Scoring Key'!$A:$A,'Task Scoring Key'!$D:$D,""),1,0)))</f>
        <v/>
      </c>
      <c r="Q133">
        <f>IF(F133="","",IF(H133=XLOOKUP(F133,'Task Scoring Key'!$A:$A,'Task Scoring Key'!$E:$E,""),1,0))</f>
        <v/>
      </c>
      <c r="R133">
        <f>IF(COUNTA(K133:M133)=0,"",AVERAGE(K133:M133))</f>
        <v/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>
        <f>IF(F134="","",IF(G134=XLOOKUP(F134,'Task Scoring Key'!$A:$A,'Task Scoring Key'!$C:$C,""),2,IF(G134=XLOOKUP(F134,'Task Scoring Key'!$A:$A,'Task Scoring Key'!$D:$D,""),1,0)))</f>
        <v/>
      </c>
      <c r="Q134">
        <f>IF(F134="","",IF(H134=XLOOKUP(F134,'Task Scoring Key'!$A:$A,'Task Scoring Key'!$E:$E,""),1,0))</f>
        <v/>
      </c>
      <c r="R134">
        <f>IF(COUNTA(K134:M134)=0,"",AVERAGE(K134:M134))</f>
        <v/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>
        <f>IF(F135="","",IF(G135=XLOOKUP(F135,'Task Scoring Key'!$A:$A,'Task Scoring Key'!$C:$C,""),2,IF(G135=XLOOKUP(F135,'Task Scoring Key'!$A:$A,'Task Scoring Key'!$D:$D,""),1,0)))</f>
        <v/>
      </c>
      <c r="Q135">
        <f>IF(F135="","",IF(H135=XLOOKUP(F135,'Task Scoring Key'!$A:$A,'Task Scoring Key'!$E:$E,""),1,0))</f>
        <v/>
      </c>
      <c r="R135">
        <f>IF(COUNTA(K135:M135)=0,"",AVERAGE(K135:M135))</f>
        <v/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>
        <f>IF(F136="","",IF(G136=XLOOKUP(F136,'Task Scoring Key'!$A:$A,'Task Scoring Key'!$C:$C,""),2,IF(G136=XLOOKUP(F136,'Task Scoring Key'!$A:$A,'Task Scoring Key'!$D:$D,""),1,0)))</f>
        <v/>
      </c>
      <c r="Q136">
        <f>IF(F136="","",IF(H136=XLOOKUP(F136,'Task Scoring Key'!$A:$A,'Task Scoring Key'!$E:$E,""),1,0))</f>
        <v/>
      </c>
      <c r="R136">
        <f>IF(COUNTA(K136:M136)=0,"",AVERAGE(K136:M136))</f>
        <v/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>
        <f>IF(F137="","",IF(G137=XLOOKUP(F137,'Task Scoring Key'!$A:$A,'Task Scoring Key'!$C:$C,""),2,IF(G137=XLOOKUP(F137,'Task Scoring Key'!$A:$A,'Task Scoring Key'!$D:$D,""),1,0)))</f>
        <v/>
      </c>
      <c r="Q137">
        <f>IF(F137="","",IF(H137=XLOOKUP(F137,'Task Scoring Key'!$A:$A,'Task Scoring Key'!$E:$E,""),1,0))</f>
        <v/>
      </c>
      <c r="R137">
        <f>IF(COUNTA(K137:M137)=0,"",AVERAGE(K137:M137))</f>
        <v/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>
        <f>IF(F138="","",IF(G138=XLOOKUP(F138,'Task Scoring Key'!$A:$A,'Task Scoring Key'!$C:$C,""),2,IF(G138=XLOOKUP(F138,'Task Scoring Key'!$A:$A,'Task Scoring Key'!$D:$D,""),1,0)))</f>
        <v/>
      </c>
      <c r="Q138">
        <f>IF(F138="","",IF(H138=XLOOKUP(F138,'Task Scoring Key'!$A:$A,'Task Scoring Key'!$E:$E,""),1,0))</f>
        <v/>
      </c>
      <c r="R138">
        <f>IF(COUNTA(K138:M138)=0,"",AVERAGE(K138:M138))</f>
        <v/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>
        <f>IF(F139="","",IF(G139=XLOOKUP(F139,'Task Scoring Key'!$A:$A,'Task Scoring Key'!$C:$C,""),2,IF(G139=XLOOKUP(F139,'Task Scoring Key'!$A:$A,'Task Scoring Key'!$D:$D,""),1,0)))</f>
        <v/>
      </c>
      <c r="Q139">
        <f>IF(F139="","",IF(H139=XLOOKUP(F139,'Task Scoring Key'!$A:$A,'Task Scoring Key'!$E:$E,""),1,0))</f>
        <v/>
      </c>
      <c r="R139">
        <f>IF(COUNTA(K139:M139)=0,"",AVERAGE(K139:M139))</f>
        <v/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>
        <f>IF(F140="","",IF(G140=XLOOKUP(F140,'Task Scoring Key'!$A:$A,'Task Scoring Key'!$C:$C,""),2,IF(G140=XLOOKUP(F140,'Task Scoring Key'!$A:$A,'Task Scoring Key'!$D:$D,""),1,0)))</f>
        <v/>
      </c>
      <c r="Q140">
        <f>IF(F140="","",IF(H140=XLOOKUP(F140,'Task Scoring Key'!$A:$A,'Task Scoring Key'!$E:$E,""),1,0))</f>
        <v/>
      </c>
      <c r="R140">
        <f>IF(COUNTA(K140:M140)=0,"",AVERAGE(K140:M140))</f>
        <v/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>
        <f>IF(F141="","",IF(G141=XLOOKUP(F141,'Task Scoring Key'!$A:$A,'Task Scoring Key'!$C:$C,""),2,IF(G141=XLOOKUP(F141,'Task Scoring Key'!$A:$A,'Task Scoring Key'!$D:$D,""),1,0)))</f>
        <v/>
      </c>
      <c r="Q141">
        <f>IF(F141="","",IF(H141=XLOOKUP(F141,'Task Scoring Key'!$A:$A,'Task Scoring Key'!$E:$E,""),1,0))</f>
        <v/>
      </c>
      <c r="R141">
        <f>IF(COUNTA(K141:M141)=0,"",AVERAGE(K141:M141))</f>
        <v/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>
        <f>IF(F142="","",IF(G142=XLOOKUP(F142,'Task Scoring Key'!$A:$A,'Task Scoring Key'!$C:$C,""),2,IF(G142=XLOOKUP(F142,'Task Scoring Key'!$A:$A,'Task Scoring Key'!$D:$D,""),1,0)))</f>
        <v/>
      </c>
      <c r="Q142">
        <f>IF(F142="","",IF(H142=XLOOKUP(F142,'Task Scoring Key'!$A:$A,'Task Scoring Key'!$E:$E,""),1,0))</f>
        <v/>
      </c>
      <c r="R142">
        <f>IF(COUNTA(K142:M142)=0,"",AVERAGE(K142:M142))</f>
        <v/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>
        <f>IF(F143="","",IF(G143=XLOOKUP(F143,'Task Scoring Key'!$A:$A,'Task Scoring Key'!$C:$C,""),2,IF(G143=XLOOKUP(F143,'Task Scoring Key'!$A:$A,'Task Scoring Key'!$D:$D,""),1,0)))</f>
        <v/>
      </c>
      <c r="Q143">
        <f>IF(F143="","",IF(H143=XLOOKUP(F143,'Task Scoring Key'!$A:$A,'Task Scoring Key'!$E:$E,""),1,0))</f>
        <v/>
      </c>
      <c r="R143">
        <f>IF(COUNTA(K143:M143)=0,"",AVERAGE(K143:M143))</f>
        <v/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>
        <f>IF(F144="","",IF(G144=XLOOKUP(F144,'Task Scoring Key'!$A:$A,'Task Scoring Key'!$C:$C,""),2,IF(G144=XLOOKUP(F144,'Task Scoring Key'!$A:$A,'Task Scoring Key'!$D:$D,""),1,0)))</f>
        <v/>
      </c>
      <c r="Q144">
        <f>IF(F144="","",IF(H144=XLOOKUP(F144,'Task Scoring Key'!$A:$A,'Task Scoring Key'!$E:$E,""),1,0))</f>
        <v/>
      </c>
      <c r="R144">
        <f>IF(COUNTA(K144:M144)=0,"",AVERAGE(K144:M144))</f>
        <v/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>
        <f>IF(F145="","",IF(G145=XLOOKUP(F145,'Task Scoring Key'!$A:$A,'Task Scoring Key'!$C:$C,""),2,IF(G145=XLOOKUP(F145,'Task Scoring Key'!$A:$A,'Task Scoring Key'!$D:$D,""),1,0)))</f>
        <v/>
      </c>
      <c r="Q145">
        <f>IF(F145="","",IF(H145=XLOOKUP(F145,'Task Scoring Key'!$A:$A,'Task Scoring Key'!$E:$E,""),1,0))</f>
        <v/>
      </c>
      <c r="R145">
        <f>IF(COUNTA(K145:M145)=0,"",AVERAGE(K145:M145))</f>
        <v/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>
        <f>IF(F146="","",IF(G146=XLOOKUP(F146,'Task Scoring Key'!$A:$A,'Task Scoring Key'!$C:$C,""),2,IF(G146=XLOOKUP(F146,'Task Scoring Key'!$A:$A,'Task Scoring Key'!$D:$D,""),1,0)))</f>
        <v/>
      </c>
      <c r="Q146">
        <f>IF(F146="","",IF(H146=XLOOKUP(F146,'Task Scoring Key'!$A:$A,'Task Scoring Key'!$E:$E,""),1,0))</f>
        <v/>
      </c>
      <c r="R146">
        <f>IF(COUNTA(K146:M146)=0,"",AVERAGE(K146:M146))</f>
        <v/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>
        <f>IF(F147="","",IF(G147=XLOOKUP(F147,'Task Scoring Key'!$A:$A,'Task Scoring Key'!$C:$C,""),2,IF(G147=XLOOKUP(F147,'Task Scoring Key'!$A:$A,'Task Scoring Key'!$D:$D,""),1,0)))</f>
        <v/>
      </c>
      <c r="Q147">
        <f>IF(F147="","",IF(H147=XLOOKUP(F147,'Task Scoring Key'!$A:$A,'Task Scoring Key'!$E:$E,""),1,0))</f>
        <v/>
      </c>
      <c r="R147">
        <f>IF(COUNTA(K147:M147)=0,"",AVERAGE(K147:M147))</f>
        <v/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>
        <f>IF(F148="","",IF(G148=XLOOKUP(F148,'Task Scoring Key'!$A:$A,'Task Scoring Key'!$C:$C,""),2,IF(G148=XLOOKUP(F148,'Task Scoring Key'!$A:$A,'Task Scoring Key'!$D:$D,""),1,0)))</f>
        <v/>
      </c>
      <c r="Q148">
        <f>IF(F148="","",IF(H148=XLOOKUP(F148,'Task Scoring Key'!$A:$A,'Task Scoring Key'!$E:$E,""),1,0))</f>
        <v/>
      </c>
      <c r="R148">
        <f>IF(COUNTA(K148:M148)=0,"",AVERAGE(K148:M148))</f>
        <v/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>
        <f>IF(F149="","",IF(G149=XLOOKUP(F149,'Task Scoring Key'!$A:$A,'Task Scoring Key'!$C:$C,""),2,IF(G149=XLOOKUP(F149,'Task Scoring Key'!$A:$A,'Task Scoring Key'!$D:$D,""),1,0)))</f>
        <v/>
      </c>
      <c r="Q149">
        <f>IF(F149="","",IF(H149=XLOOKUP(F149,'Task Scoring Key'!$A:$A,'Task Scoring Key'!$E:$E,""),1,0))</f>
        <v/>
      </c>
      <c r="R149">
        <f>IF(COUNTA(K149:M149)=0,"",AVERAGE(K149:M149))</f>
        <v/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>
        <f>IF(F150="","",IF(G150=XLOOKUP(F150,'Task Scoring Key'!$A:$A,'Task Scoring Key'!$C:$C,""),2,IF(G150=XLOOKUP(F150,'Task Scoring Key'!$A:$A,'Task Scoring Key'!$D:$D,""),1,0)))</f>
        <v/>
      </c>
      <c r="Q150">
        <f>IF(F150="","",IF(H150=XLOOKUP(F150,'Task Scoring Key'!$A:$A,'Task Scoring Key'!$E:$E,""),1,0))</f>
        <v/>
      </c>
      <c r="R150">
        <f>IF(COUNTA(K150:M150)=0,"",AVERAGE(K150:M150))</f>
        <v/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>
        <f>IF(F151="","",IF(G151=XLOOKUP(F151,'Task Scoring Key'!$A:$A,'Task Scoring Key'!$C:$C,""),2,IF(G151=XLOOKUP(F151,'Task Scoring Key'!$A:$A,'Task Scoring Key'!$D:$D,""),1,0)))</f>
        <v/>
      </c>
      <c r="Q151">
        <f>IF(F151="","",IF(H151=XLOOKUP(F151,'Task Scoring Key'!$A:$A,'Task Scoring Key'!$E:$E,""),1,0))</f>
        <v/>
      </c>
      <c r="R151">
        <f>IF(COUNTA(K151:M151)=0,"",AVERAGE(K151:M151))</f>
        <v/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>
        <f>IF(F152="","",IF(G152=XLOOKUP(F152,'Task Scoring Key'!$A:$A,'Task Scoring Key'!$C:$C,""),2,IF(G152=XLOOKUP(F152,'Task Scoring Key'!$A:$A,'Task Scoring Key'!$D:$D,""),1,0)))</f>
        <v/>
      </c>
      <c r="Q152">
        <f>IF(F152="","",IF(H152=XLOOKUP(F152,'Task Scoring Key'!$A:$A,'Task Scoring Key'!$E:$E,""),1,0))</f>
        <v/>
      </c>
      <c r="R152">
        <f>IF(COUNTA(K152:M152)=0,"",AVERAGE(K152:M152))</f>
        <v/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>
        <f>IF(F153="","",IF(G153=XLOOKUP(F153,'Task Scoring Key'!$A:$A,'Task Scoring Key'!$C:$C,""),2,IF(G153=XLOOKUP(F153,'Task Scoring Key'!$A:$A,'Task Scoring Key'!$D:$D,""),1,0)))</f>
        <v/>
      </c>
      <c r="Q153">
        <f>IF(F153="","",IF(H153=XLOOKUP(F153,'Task Scoring Key'!$A:$A,'Task Scoring Key'!$E:$E,""),1,0))</f>
        <v/>
      </c>
      <c r="R153">
        <f>IF(COUNTA(K153:M153)=0,"",AVERAGE(K153:M153))</f>
        <v/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>
        <f>IF(F154="","",IF(G154=XLOOKUP(F154,'Task Scoring Key'!$A:$A,'Task Scoring Key'!$C:$C,""),2,IF(G154=XLOOKUP(F154,'Task Scoring Key'!$A:$A,'Task Scoring Key'!$D:$D,""),1,0)))</f>
        <v/>
      </c>
      <c r="Q154">
        <f>IF(F154="","",IF(H154=XLOOKUP(F154,'Task Scoring Key'!$A:$A,'Task Scoring Key'!$E:$E,""),1,0))</f>
        <v/>
      </c>
      <c r="R154">
        <f>IF(COUNTA(K154:M154)=0,"",AVERAGE(K154:M154))</f>
        <v/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>
        <f>IF(F155="","",IF(G155=XLOOKUP(F155,'Task Scoring Key'!$A:$A,'Task Scoring Key'!$C:$C,""),2,IF(G155=XLOOKUP(F155,'Task Scoring Key'!$A:$A,'Task Scoring Key'!$D:$D,""),1,0)))</f>
        <v/>
      </c>
      <c r="Q155">
        <f>IF(F155="","",IF(H155=XLOOKUP(F155,'Task Scoring Key'!$A:$A,'Task Scoring Key'!$E:$E,""),1,0))</f>
        <v/>
      </c>
      <c r="R155">
        <f>IF(COUNTA(K155:M155)=0,"",AVERAGE(K155:M155))</f>
        <v/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>
        <f>IF(F156="","",IF(G156=XLOOKUP(F156,'Task Scoring Key'!$A:$A,'Task Scoring Key'!$C:$C,""),2,IF(G156=XLOOKUP(F156,'Task Scoring Key'!$A:$A,'Task Scoring Key'!$D:$D,""),1,0)))</f>
        <v/>
      </c>
      <c r="Q156">
        <f>IF(F156="","",IF(H156=XLOOKUP(F156,'Task Scoring Key'!$A:$A,'Task Scoring Key'!$E:$E,""),1,0))</f>
        <v/>
      </c>
      <c r="R156">
        <f>IF(COUNTA(K156:M156)=0,"",AVERAGE(K156:M156))</f>
        <v/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>
        <f>IF(F157="","",IF(G157=XLOOKUP(F157,'Task Scoring Key'!$A:$A,'Task Scoring Key'!$C:$C,""),2,IF(G157=XLOOKUP(F157,'Task Scoring Key'!$A:$A,'Task Scoring Key'!$D:$D,""),1,0)))</f>
        <v/>
      </c>
      <c r="Q157">
        <f>IF(F157="","",IF(H157=XLOOKUP(F157,'Task Scoring Key'!$A:$A,'Task Scoring Key'!$E:$E,""),1,0))</f>
        <v/>
      </c>
      <c r="R157">
        <f>IF(COUNTA(K157:M157)=0,"",AVERAGE(K157:M157))</f>
        <v/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>
        <f>IF(F158="","",IF(G158=XLOOKUP(F158,'Task Scoring Key'!$A:$A,'Task Scoring Key'!$C:$C,""),2,IF(G158=XLOOKUP(F158,'Task Scoring Key'!$A:$A,'Task Scoring Key'!$D:$D,""),1,0)))</f>
        <v/>
      </c>
      <c r="Q158">
        <f>IF(F158="","",IF(H158=XLOOKUP(F158,'Task Scoring Key'!$A:$A,'Task Scoring Key'!$E:$E,""),1,0))</f>
        <v/>
      </c>
      <c r="R158">
        <f>IF(COUNTA(K158:M158)=0,"",AVERAGE(K158:M158))</f>
        <v/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>
        <f>IF(F159="","",IF(G159=XLOOKUP(F159,'Task Scoring Key'!$A:$A,'Task Scoring Key'!$C:$C,""),2,IF(G159=XLOOKUP(F159,'Task Scoring Key'!$A:$A,'Task Scoring Key'!$D:$D,""),1,0)))</f>
        <v/>
      </c>
      <c r="Q159">
        <f>IF(F159="","",IF(H159=XLOOKUP(F159,'Task Scoring Key'!$A:$A,'Task Scoring Key'!$E:$E,""),1,0))</f>
        <v/>
      </c>
      <c r="R159">
        <f>IF(COUNTA(K159:M159)=0,"",AVERAGE(K159:M159))</f>
        <v/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>
        <f>IF(F160="","",IF(G160=XLOOKUP(F160,'Task Scoring Key'!$A:$A,'Task Scoring Key'!$C:$C,""),2,IF(G160=XLOOKUP(F160,'Task Scoring Key'!$A:$A,'Task Scoring Key'!$D:$D,""),1,0)))</f>
        <v/>
      </c>
      <c r="Q160">
        <f>IF(F160="","",IF(H160=XLOOKUP(F160,'Task Scoring Key'!$A:$A,'Task Scoring Key'!$E:$E,""),1,0))</f>
        <v/>
      </c>
      <c r="R160">
        <f>IF(COUNTA(K160:M160)=0,"",AVERAGE(K160:M160))</f>
        <v/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>
        <f>IF(F161="","",IF(G161=XLOOKUP(F161,'Task Scoring Key'!$A:$A,'Task Scoring Key'!$C:$C,""),2,IF(G161=XLOOKUP(F161,'Task Scoring Key'!$A:$A,'Task Scoring Key'!$D:$D,""),1,0)))</f>
        <v/>
      </c>
      <c r="Q161">
        <f>IF(F161="","",IF(H161=XLOOKUP(F161,'Task Scoring Key'!$A:$A,'Task Scoring Key'!$E:$E,""),1,0))</f>
        <v/>
      </c>
      <c r="R161">
        <f>IF(COUNTA(K161:M161)=0,"",AVERAGE(K161:M161))</f>
        <v/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>
        <f>IF(F162="","",IF(G162=XLOOKUP(F162,'Task Scoring Key'!$A:$A,'Task Scoring Key'!$C:$C,""),2,IF(G162=XLOOKUP(F162,'Task Scoring Key'!$A:$A,'Task Scoring Key'!$D:$D,""),1,0)))</f>
        <v/>
      </c>
      <c r="Q162">
        <f>IF(F162="","",IF(H162=XLOOKUP(F162,'Task Scoring Key'!$A:$A,'Task Scoring Key'!$E:$E,""),1,0))</f>
        <v/>
      </c>
      <c r="R162">
        <f>IF(COUNTA(K162:M162)=0,"",AVERAGE(K162:M162))</f>
        <v/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>
        <f>IF(F163="","",IF(G163=XLOOKUP(F163,'Task Scoring Key'!$A:$A,'Task Scoring Key'!$C:$C,""),2,IF(G163=XLOOKUP(F163,'Task Scoring Key'!$A:$A,'Task Scoring Key'!$D:$D,""),1,0)))</f>
        <v/>
      </c>
      <c r="Q163">
        <f>IF(F163="","",IF(H163=XLOOKUP(F163,'Task Scoring Key'!$A:$A,'Task Scoring Key'!$E:$E,""),1,0))</f>
        <v/>
      </c>
      <c r="R163">
        <f>IF(COUNTA(K163:M163)=0,"",AVERAGE(K163:M163))</f>
        <v/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>
        <f>IF(F164="","",IF(G164=XLOOKUP(F164,'Task Scoring Key'!$A:$A,'Task Scoring Key'!$C:$C,""),2,IF(G164=XLOOKUP(F164,'Task Scoring Key'!$A:$A,'Task Scoring Key'!$D:$D,""),1,0)))</f>
        <v/>
      </c>
      <c r="Q164">
        <f>IF(F164="","",IF(H164=XLOOKUP(F164,'Task Scoring Key'!$A:$A,'Task Scoring Key'!$E:$E,""),1,0))</f>
        <v/>
      </c>
      <c r="R164">
        <f>IF(COUNTA(K164:M164)=0,"",AVERAGE(K164:M164))</f>
        <v/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>
        <f>IF(F165="","",IF(G165=XLOOKUP(F165,'Task Scoring Key'!$A:$A,'Task Scoring Key'!$C:$C,""),2,IF(G165=XLOOKUP(F165,'Task Scoring Key'!$A:$A,'Task Scoring Key'!$D:$D,""),1,0)))</f>
        <v/>
      </c>
      <c r="Q165">
        <f>IF(F165="","",IF(H165=XLOOKUP(F165,'Task Scoring Key'!$A:$A,'Task Scoring Key'!$E:$E,""),1,0))</f>
        <v/>
      </c>
      <c r="R165">
        <f>IF(COUNTA(K165:M165)=0,"",AVERAGE(K165:M165))</f>
        <v/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>
        <f>IF(F166="","",IF(G166=XLOOKUP(F166,'Task Scoring Key'!$A:$A,'Task Scoring Key'!$C:$C,""),2,IF(G166=XLOOKUP(F166,'Task Scoring Key'!$A:$A,'Task Scoring Key'!$D:$D,""),1,0)))</f>
        <v/>
      </c>
      <c r="Q166">
        <f>IF(F166="","",IF(H166=XLOOKUP(F166,'Task Scoring Key'!$A:$A,'Task Scoring Key'!$E:$E,""),1,0))</f>
        <v/>
      </c>
      <c r="R166">
        <f>IF(COUNTA(K166:M166)=0,"",AVERAGE(K166:M166))</f>
        <v/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>
        <f>IF(F167="","",IF(G167=XLOOKUP(F167,'Task Scoring Key'!$A:$A,'Task Scoring Key'!$C:$C,""),2,IF(G167=XLOOKUP(F167,'Task Scoring Key'!$A:$A,'Task Scoring Key'!$D:$D,""),1,0)))</f>
        <v/>
      </c>
      <c r="Q167">
        <f>IF(F167="","",IF(H167=XLOOKUP(F167,'Task Scoring Key'!$A:$A,'Task Scoring Key'!$E:$E,""),1,0))</f>
        <v/>
      </c>
      <c r="R167">
        <f>IF(COUNTA(K167:M167)=0,"",AVERAGE(K167:M167))</f>
        <v/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>
        <f>IF(F168="","",IF(G168=XLOOKUP(F168,'Task Scoring Key'!$A:$A,'Task Scoring Key'!$C:$C,""),2,IF(G168=XLOOKUP(F168,'Task Scoring Key'!$A:$A,'Task Scoring Key'!$D:$D,""),1,0)))</f>
        <v/>
      </c>
      <c r="Q168">
        <f>IF(F168="","",IF(H168=XLOOKUP(F168,'Task Scoring Key'!$A:$A,'Task Scoring Key'!$E:$E,""),1,0))</f>
        <v/>
      </c>
      <c r="R168">
        <f>IF(COUNTA(K168:M168)=0,"",AVERAGE(K168:M168))</f>
        <v/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>
        <f>IF(F169="","",IF(G169=XLOOKUP(F169,'Task Scoring Key'!$A:$A,'Task Scoring Key'!$C:$C,""),2,IF(G169=XLOOKUP(F169,'Task Scoring Key'!$A:$A,'Task Scoring Key'!$D:$D,""),1,0)))</f>
        <v/>
      </c>
      <c r="Q169">
        <f>IF(F169="","",IF(H169=XLOOKUP(F169,'Task Scoring Key'!$A:$A,'Task Scoring Key'!$E:$E,""),1,0))</f>
        <v/>
      </c>
      <c r="R169">
        <f>IF(COUNTA(K169:M169)=0,"",AVERAGE(K169:M169))</f>
        <v/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>
        <f>IF(F170="","",IF(G170=XLOOKUP(F170,'Task Scoring Key'!$A:$A,'Task Scoring Key'!$C:$C,""),2,IF(G170=XLOOKUP(F170,'Task Scoring Key'!$A:$A,'Task Scoring Key'!$D:$D,""),1,0)))</f>
        <v/>
      </c>
      <c r="Q170">
        <f>IF(F170="","",IF(H170=XLOOKUP(F170,'Task Scoring Key'!$A:$A,'Task Scoring Key'!$E:$E,""),1,0))</f>
        <v/>
      </c>
      <c r="R170">
        <f>IF(COUNTA(K170:M170)=0,"",AVERAGE(K170:M170))</f>
        <v/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>
        <f>IF(F171="","",IF(G171=XLOOKUP(F171,'Task Scoring Key'!$A:$A,'Task Scoring Key'!$C:$C,""),2,IF(G171=XLOOKUP(F171,'Task Scoring Key'!$A:$A,'Task Scoring Key'!$D:$D,""),1,0)))</f>
        <v/>
      </c>
      <c r="Q171">
        <f>IF(F171="","",IF(H171=XLOOKUP(F171,'Task Scoring Key'!$A:$A,'Task Scoring Key'!$E:$E,""),1,0))</f>
        <v/>
      </c>
      <c r="R171">
        <f>IF(COUNTA(K171:M171)=0,"",AVERAGE(K171:M171))</f>
        <v/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>
        <f>IF(F172="","",IF(G172=XLOOKUP(F172,'Task Scoring Key'!$A:$A,'Task Scoring Key'!$C:$C,""),2,IF(G172=XLOOKUP(F172,'Task Scoring Key'!$A:$A,'Task Scoring Key'!$D:$D,""),1,0)))</f>
        <v/>
      </c>
      <c r="Q172">
        <f>IF(F172="","",IF(H172=XLOOKUP(F172,'Task Scoring Key'!$A:$A,'Task Scoring Key'!$E:$E,""),1,0))</f>
        <v/>
      </c>
      <c r="R172">
        <f>IF(COUNTA(K172:M172)=0,"",AVERAGE(K172:M172))</f>
        <v/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>
        <f>IF(F173="","",IF(G173=XLOOKUP(F173,'Task Scoring Key'!$A:$A,'Task Scoring Key'!$C:$C,""),2,IF(G173=XLOOKUP(F173,'Task Scoring Key'!$A:$A,'Task Scoring Key'!$D:$D,""),1,0)))</f>
        <v/>
      </c>
      <c r="Q173">
        <f>IF(F173="","",IF(H173=XLOOKUP(F173,'Task Scoring Key'!$A:$A,'Task Scoring Key'!$E:$E,""),1,0))</f>
        <v/>
      </c>
      <c r="R173">
        <f>IF(COUNTA(K173:M173)=0,"",AVERAGE(K173:M173))</f>
        <v/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>
        <f>IF(F174="","",IF(G174=XLOOKUP(F174,'Task Scoring Key'!$A:$A,'Task Scoring Key'!$C:$C,""),2,IF(G174=XLOOKUP(F174,'Task Scoring Key'!$A:$A,'Task Scoring Key'!$D:$D,""),1,0)))</f>
        <v/>
      </c>
      <c r="Q174">
        <f>IF(F174="","",IF(H174=XLOOKUP(F174,'Task Scoring Key'!$A:$A,'Task Scoring Key'!$E:$E,""),1,0))</f>
        <v/>
      </c>
      <c r="R174">
        <f>IF(COUNTA(K174:M174)=0,"",AVERAGE(K174:M174))</f>
        <v/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>
        <f>IF(F175="","",IF(G175=XLOOKUP(F175,'Task Scoring Key'!$A:$A,'Task Scoring Key'!$C:$C,""),2,IF(G175=XLOOKUP(F175,'Task Scoring Key'!$A:$A,'Task Scoring Key'!$D:$D,""),1,0)))</f>
        <v/>
      </c>
      <c r="Q175">
        <f>IF(F175="","",IF(H175=XLOOKUP(F175,'Task Scoring Key'!$A:$A,'Task Scoring Key'!$E:$E,""),1,0))</f>
        <v/>
      </c>
      <c r="R175">
        <f>IF(COUNTA(K175:M175)=0,"",AVERAGE(K175:M175))</f>
        <v/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>
        <f>IF(F176="","",IF(G176=XLOOKUP(F176,'Task Scoring Key'!$A:$A,'Task Scoring Key'!$C:$C,""),2,IF(G176=XLOOKUP(F176,'Task Scoring Key'!$A:$A,'Task Scoring Key'!$D:$D,""),1,0)))</f>
        <v/>
      </c>
      <c r="Q176">
        <f>IF(F176="","",IF(H176=XLOOKUP(F176,'Task Scoring Key'!$A:$A,'Task Scoring Key'!$E:$E,""),1,0))</f>
        <v/>
      </c>
      <c r="R176">
        <f>IF(COUNTA(K176:M176)=0,"",AVERAGE(K176:M176))</f>
        <v/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>
        <f>IF(F177="","",IF(G177=XLOOKUP(F177,'Task Scoring Key'!$A:$A,'Task Scoring Key'!$C:$C,""),2,IF(G177=XLOOKUP(F177,'Task Scoring Key'!$A:$A,'Task Scoring Key'!$D:$D,""),1,0)))</f>
        <v/>
      </c>
      <c r="Q177">
        <f>IF(F177="","",IF(H177=XLOOKUP(F177,'Task Scoring Key'!$A:$A,'Task Scoring Key'!$E:$E,""),1,0))</f>
        <v/>
      </c>
      <c r="R177">
        <f>IF(COUNTA(K177:M177)=0,"",AVERAGE(K177:M177))</f>
        <v/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>
        <f>IF(F178="","",IF(G178=XLOOKUP(F178,'Task Scoring Key'!$A:$A,'Task Scoring Key'!$C:$C,""),2,IF(G178=XLOOKUP(F178,'Task Scoring Key'!$A:$A,'Task Scoring Key'!$D:$D,""),1,0)))</f>
        <v/>
      </c>
      <c r="Q178">
        <f>IF(F178="","",IF(H178=XLOOKUP(F178,'Task Scoring Key'!$A:$A,'Task Scoring Key'!$E:$E,""),1,0))</f>
        <v/>
      </c>
      <c r="R178">
        <f>IF(COUNTA(K178:M178)=0,"",AVERAGE(K178:M178))</f>
        <v/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>
        <f>IF(F179="","",IF(G179=XLOOKUP(F179,'Task Scoring Key'!$A:$A,'Task Scoring Key'!$C:$C,""),2,IF(G179=XLOOKUP(F179,'Task Scoring Key'!$A:$A,'Task Scoring Key'!$D:$D,""),1,0)))</f>
        <v/>
      </c>
      <c r="Q179">
        <f>IF(F179="","",IF(H179=XLOOKUP(F179,'Task Scoring Key'!$A:$A,'Task Scoring Key'!$E:$E,""),1,0))</f>
        <v/>
      </c>
      <c r="R179">
        <f>IF(COUNTA(K179:M179)=0,"",AVERAGE(K179:M179))</f>
        <v/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>
        <f>IF(F180="","",IF(G180=XLOOKUP(F180,'Task Scoring Key'!$A:$A,'Task Scoring Key'!$C:$C,""),2,IF(G180=XLOOKUP(F180,'Task Scoring Key'!$A:$A,'Task Scoring Key'!$D:$D,""),1,0)))</f>
        <v/>
      </c>
      <c r="Q180">
        <f>IF(F180="","",IF(H180=XLOOKUP(F180,'Task Scoring Key'!$A:$A,'Task Scoring Key'!$E:$E,""),1,0))</f>
        <v/>
      </c>
      <c r="R180">
        <f>IF(COUNTA(K180:M180)=0,"",AVERAGE(K180:M180))</f>
        <v/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>
        <f>IF(F181="","",IF(G181=XLOOKUP(F181,'Task Scoring Key'!$A:$A,'Task Scoring Key'!$C:$C,""),2,IF(G181=XLOOKUP(F181,'Task Scoring Key'!$A:$A,'Task Scoring Key'!$D:$D,""),1,0)))</f>
        <v/>
      </c>
      <c r="Q181">
        <f>IF(F181="","",IF(H181=XLOOKUP(F181,'Task Scoring Key'!$A:$A,'Task Scoring Key'!$E:$E,""),1,0))</f>
        <v/>
      </c>
      <c r="R181">
        <f>IF(COUNTA(K181:M181)=0,"",AVERAGE(K181:M181))</f>
        <v/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>
        <f>IF(F182="","",IF(G182=XLOOKUP(F182,'Task Scoring Key'!$A:$A,'Task Scoring Key'!$C:$C,""),2,IF(G182=XLOOKUP(F182,'Task Scoring Key'!$A:$A,'Task Scoring Key'!$D:$D,""),1,0)))</f>
        <v/>
      </c>
      <c r="Q182">
        <f>IF(F182="","",IF(H182=XLOOKUP(F182,'Task Scoring Key'!$A:$A,'Task Scoring Key'!$E:$E,""),1,0))</f>
        <v/>
      </c>
      <c r="R182">
        <f>IF(COUNTA(K182:M182)=0,"",AVERAGE(K182:M182))</f>
        <v/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>
        <f>IF(F183="","",IF(G183=XLOOKUP(F183,'Task Scoring Key'!$A:$A,'Task Scoring Key'!$C:$C,""),2,IF(G183=XLOOKUP(F183,'Task Scoring Key'!$A:$A,'Task Scoring Key'!$D:$D,""),1,0)))</f>
        <v/>
      </c>
      <c r="Q183">
        <f>IF(F183="","",IF(H183=XLOOKUP(F183,'Task Scoring Key'!$A:$A,'Task Scoring Key'!$E:$E,""),1,0))</f>
        <v/>
      </c>
      <c r="R183">
        <f>IF(COUNTA(K183:M183)=0,"",AVERAGE(K183:M183))</f>
        <v/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>
        <f>IF(F184="","",IF(G184=XLOOKUP(F184,'Task Scoring Key'!$A:$A,'Task Scoring Key'!$C:$C,""),2,IF(G184=XLOOKUP(F184,'Task Scoring Key'!$A:$A,'Task Scoring Key'!$D:$D,""),1,0)))</f>
        <v/>
      </c>
      <c r="Q184">
        <f>IF(F184="","",IF(H184=XLOOKUP(F184,'Task Scoring Key'!$A:$A,'Task Scoring Key'!$E:$E,""),1,0))</f>
        <v/>
      </c>
      <c r="R184">
        <f>IF(COUNTA(K184:M184)=0,"",AVERAGE(K184:M184))</f>
        <v/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>
        <f>IF(F185="","",IF(G185=XLOOKUP(F185,'Task Scoring Key'!$A:$A,'Task Scoring Key'!$C:$C,""),2,IF(G185=XLOOKUP(F185,'Task Scoring Key'!$A:$A,'Task Scoring Key'!$D:$D,""),1,0)))</f>
        <v/>
      </c>
      <c r="Q185">
        <f>IF(F185="","",IF(H185=XLOOKUP(F185,'Task Scoring Key'!$A:$A,'Task Scoring Key'!$E:$E,""),1,0))</f>
        <v/>
      </c>
      <c r="R185">
        <f>IF(COUNTA(K185:M185)=0,"",AVERAGE(K185:M185))</f>
        <v/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>
        <f>IF(F186="","",IF(G186=XLOOKUP(F186,'Task Scoring Key'!$A:$A,'Task Scoring Key'!$C:$C,""),2,IF(G186=XLOOKUP(F186,'Task Scoring Key'!$A:$A,'Task Scoring Key'!$D:$D,""),1,0)))</f>
        <v/>
      </c>
      <c r="Q186">
        <f>IF(F186="","",IF(H186=XLOOKUP(F186,'Task Scoring Key'!$A:$A,'Task Scoring Key'!$E:$E,""),1,0))</f>
        <v/>
      </c>
      <c r="R186">
        <f>IF(COUNTA(K186:M186)=0,"",AVERAGE(K186:M186))</f>
        <v/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>
        <f>IF(F187="","",IF(G187=XLOOKUP(F187,'Task Scoring Key'!$A:$A,'Task Scoring Key'!$C:$C,""),2,IF(G187=XLOOKUP(F187,'Task Scoring Key'!$A:$A,'Task Scoring Key'!$D:$D,""),1,0)))</f>
        <v/>
      </c>
      <c r="Q187">
        <f>IF(F187="","",IF(H187=XLOOKUP(F187,'Task Scoring Key'!$A:$A,'Task Scoring Key'!$E:$E,""),1,0))</f>
        <v/>
      </c>
      <c r="R187">
        <f>IF(COUNTA(K187:M187)=0,"",AVERAGE(K187:M187))</f>
        <v/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>
        <f>IF(F188="","",IF(G188=XLOOKUP(F188,'Task Scoring Key'!$A:$A,'Task Scoring Key'!$C:$C,""),2,IF(G188=XLOOKUP(F188,'Task Scoring Key'!$A:$A,'Task Scoring Key'!$D:$D,""),1,0)))</f>
        <v/>
      </c>
      <c r="Q188">
        <f>IF(F188="","",IF(H188=XLOOKUP(F188,'Task Scoring Key'!$A:$A,'Task Scoring Key'!$E:$E,""),1,0))</f>
        <v/>
      </c>
      <c r="R188">
        <f>IF(COUNTA(K188:M188)=0,"",AVERAGE(K188:M188))</f>
        <v/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>
        <f>IF(F189="","",IF(G189=XLOOKUP(F189,'Task Scoring Key'!$A:$A,'Task Scoring Key'!$C:$C,""),2,IF(G189=XLOOKUP(F189,'Task Scoring Key'!$A:$A,'Task Scoring Key'!$D:$D,""),1,0)))</f>
        <v/>
      </c>
      <c r="Q189">
        <f>IF(F189="","",IF(H189=XLOOKUP(F189,'Task Scoring Key'!$A:$A,'Task Scoring Key'!$E:$E,""),1,0))</f>
        <v/>
      </c>
      <c r="R189">
        <f>IF(COUNTA(K189:M189)=0,"",AVERAGE(K189:M189))</f>
        <v/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>
        <f>IF(F190="","",IF(G190=XLOOKUP(F190,'Task Scoring Key'!$A:$A,'Task Scoring Key'!$C:$C,""),2,IF(G190=XLOOKUP(F190,'Task Scoring Key'!$A:$A,'Task Scoring Key'!$D:$D,""),1,0)))</f>
        <v/>
      </c>
      <c r="Q190">
        <f>IF(F190="","",IF(H190=XLOOKUP(F190,'Task Scoring Key'!$A:$A,'Task Scoring Key'!$E:$E,""),1,0))</f>
        <v/>
      </c>
      <c r="R190">
        <f>IF(COUNTA(K190:M190)=0,"",AVERAGE(K190:M190))</f>
        <v/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>
        <f>IF(F191="","",IF(G191=XLOOKUP(F191,'Task Scoring Key'!$A:$A,'Task Scoring Key'!$C:$C,""),2,IF(G191=XLOOKUP(F191,'Task Scoring Key'!$A:$A,'Task Scoring Key'!$D:$D,""),1,0)))</f>
        <v/>
      </c>
      <c r="Q191">
        <f>IF(F191="","",IF(H191=XLOOKUP(F191,'Task Scoring Key'!$A:$A,'Task Scoring Key'!$E:$E,""),1,0))</f>
        <v/>
      </c>
      <c r="R191">
        <f>IF(COUNTA(K191:M191)=0,"",AVERAGE(K191:M191))</f>
        <v/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>
        <f>IF(F192="","",IF(G192=XLOOKUP(F192,'Task Scoring Key'!$A:$A,'Task Scoring Key'!$C:$C,""),2,IF(G192=XLOOKUP(F192,'Task Scoring Key'!$A:$A,'Task Scoring Key'!$D:$D,""),1,0)))</f>
        <v/>
      </c>
      <c r="Q192">
        <f>IF(F192="","",IF(H192=XLOOKUP(F192,'Task Scoring Key'!$A:$A,'Task Scoring Key'!$E:$E,""),1,0))</f>
        <v/>
      </c>
      <c r="R192">
        <f>IF(COUNTA(K192:M192)=0,"",AVERAGE(K192:M192))</f>
        <v/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>
        <f>IF(F193="","",IF(G193=XLOOKUP(F193,'Task Scoring Key'!$A:$A,'Task Scoring Key'!$C:$C,""),2,IF(G193=XLOOKUP(F193,'Task Scoring Key'!$A:$A,'Task Scoring Key'!$D:$D,""),1,0)))</f>
        <v/>
      </c>
      <c r="Q193">
        <f>IF(F193="","",IF(H193=XLOOKUP(F193,'Task Scoring Key'!$A:$A,'Task Scoring Key'!$E:$E,""),1,0))</f>
        <v/>
      </c>
      <c r="R193">
        <f>IF(COUNTA(K193:M193)=0,"",AVERAGE(K193:M193))</f>
        <v/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>
        <f>IF(F194="","",IF(G194=XLOOKUP(F194,'Task Scoring Key'!$A:$A,'Task Scoring Key'!$C:$C,""),2,IF(G194=XLOOKUP(F194,'Task Scoring Key'!$A:$A,'Task Scoring Key'!$D:$D,""),1,0)))</f>
        <v/>
      </c>
      <c r="Q194">
        <f>IF(F194="","",IF(H194=XLOOKUP(F194,'Task Scoring Key'!$A:$A,'Task Scoring Key'!$E:$E,""),1,0))</f>
        <v/>
      </c>
      <c r="R194">
        <f>IF(COUNTA(K194:M194)=0,"",AVERAGE(K194:M194))</f>
        <v/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>
        <f>IF(F195="","",IF(G195=XLOOKUP(F195,'Task Scoring Key'!$A:$A,'Task Scoring Key'!$C:$C,""),2,IF(G195=XLOOKUP(F195,'Task Scoring Key'!$A:$A,'Task Scoring Key'!$D:$D,""),1,0)))</f>
        <v/>
      </c>
      <c r="Q195">
        <f>IF(F195="","",IF(H195=XLOOKUP(F195,'Task Scoring Key'!$A:$A,'Task Scoring Key'!$E:$E,""),1,0))</f>
        <v/>
      </c>
      <c r="R195">
        <f>IF(COUNTA(K195:M195)=0,"",AVERAGE(K195:M195))</f>
        <v/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>
        <f>IF(F196="","",IF(G196=XLOOKUP(F196,'Task Scoring Key'!$A:$A,'Task Scoring Key'!$C:$C,""),2,IF(G196=XLOOKUP(F196,'Task Scoring Key'!$A:$A,'Task Scoring Key'!$D:$D,""),1,0)))</f>
        <v/>
      </c>
      <c r="Q196">
        <f>IF(F196="","",IF(H196=XLOOKUP(F196,'Task Scoring Key'!$A:$A,'Task Scoring Key'!$E:$E,""),1,0))</f>
        <v/>
      </c>
      <c r="R196">
        <f>IF(COUNTA(K196:M196)=0,"",AVERAGE(K196:M196))</f>
        <v/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>
        <f>IF(F197="","",IF(G197=XLOOKUP(F197,'Task Scoring Key'!$A:$A,'Task Scoring Key'!$C:$C,""),2,IF(G197=XLOOKUP(F197,'Task Scoring Key'!$A:$A,'Task Scoring Key'!$D:$D,""),1,0)))</f>
        <v/>
      </c>
      <c r="Q197">
        <f>IF(F197="","",IF(H197=XLOOKUP(F197,'Task Scoring Key'!$A:$A,'Task Scoring Key'!$E:$E,""),1,0))</f>
        <v/>
      </c>
      <c r="R197">
        <f>IF(COUNTA(K197:M197)=0,"",AVERAGE(K197:M197))</f>
        <v/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>
        <f>IF(F198="","",IF(G198=XLOOKUP(F198,'Task Scoring Key'!$A:$A,'Task Scoring Key'!$C:$C,""),2,IF(G198=XLOOKUP(F198,'Task Scoring Key'!$A:$A,'Task Scoring Key'!$D:$D,""),1,0)))</f>
        <v/>
      </c>
      <c r="Q198">
        <f>IF(F198="","",IF(H198=XLOOKUP(F198,'Task Scoring Key'!$A:$A,'Task Scoring Key'!$E:$E,""),1,0))</f>
        <v/>
      </c>
      <c r="R198">
        <f>IF(COUNTA(K198:M198)=0,"",AVERAGE(K198:M198))</f>
        <v/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>
        <f>IF(F199="","",IF(G199=XLOOKUP(F199,'Task Scoring Key'!$A:$A,'Task Scoring Key'!$C:$C,""),2,IF(G199=XLOOKUP(F199,'Task Scoring Key'!$A:$A,'Task Scoring Key'!$D:$D,""),1,0)))</f>
        <v/>
      </c>
      <c r="Q199">
        <f>IF(F199="","",IF(H199=XLOOKUP(F199,'Task Scoring Key'!$A:$A,'Task Scoring Key'!$E:$E,""),1,0))</f>
        <v/>
      </c>
      <c r="R199">
        <f>IF(COUNTA(K199:M199)=0,"",AVERAGE(K199:M199))</f>
        <v/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>
        <f>IF(F200="","",IF(G200=XLOOKUP(F200,'Task Scoring Key'!$A:$A,'Task Scoring Key'!$C:$C,""),2,IF(G200=XLOOKUP(F200,'Task Scoring Key'!$A:$A,'Task Scoring Key'!$D:$D,""),1,0)))</f>
        <v/>
      </c>
      <c r="Q200">
        <f>IF(F200="","",IF(H200=XLOOKUP(F200,'Task Scoring Key'!$A:$A,'Task Scoring Key'!$E:$E,""),1,0))</f>
        <v/>
      </c>
      <c r="R200">
        <f>IF(COUNTA(K200:M200)=0,"",AVERAGE(K200:M200))</f>
        <v/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>
        <f>IF(F201="","",IF(G201=XLOOKUP(F201,'Task Scoring Key'!$A:$A,'Task Scoring Key'!$C:$C,""),2,IF(G201=XLOOKUP(F201,'Task Scoring Key'!$A:$A,'Task Scoring Key'!$D:$D,""),1,0)))</f>
        <v/>
      </c>
      <c r="Q201">
        <f>IF(F201="","",IF(H201=XLOOKUP(F201,'Task Scoring Key'!$A:$A,'Task Scoring Key'!$E:$E,""),1,0))</f>
        <v/>
      </c>
      <c r="R201">
        <f>IF(COUNTA(K201:M201)=0,"",AVERAGE(K201:M201))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Participant code</t>
        </is>
      </c>
      <c r="C1" t="inlineStr">
        <is>
          <t>Condition</t>
        </is>
      </c>
      <c r="D1" t="inlineStr">
        <is>
          <t>SUS1</t>
        </is>
      </c>
      <c r="E1" t="inlineStr">
        <is>
          <t>SUS2</t>
        </is>
      </c>
      <c r="F1" t="inlineStr">
        <is>
          <t>SUS3</t>
        </is>
      </c>
      <c r="G1" t="inlineStr">
        <is>
          <t>SUS4</t>
        </is>
      </c>
      <c r="H1" t="inlineStr">
        <is>
          <t>SUS5</t>
        </is>
      </c>
      <c r="I1" t="inlineStr">
        <is>
          <t>SUS6</t>
        </is>
      </c>
      <c r="J1" t="inlineStr">
        <is>
          <t>SUS7</t>
        </is>
      </c>
      <c r="K1" t="inlineStr">
        <is>
          <t>SUS8</t>
        </is>
      </c>
      <c r="L1" t="inlineStr">
        <is>
          <t>SUS9</t>
        </is>
      </c>
      <c r="M1" t="inlineStr">
        <is>
          <t>SUS10</t>
        </is>
      </c>
      <c r="N1" t="inlineStr">
        <is>
          <t>NASA Mental</t>
        </is>
      </c>
      <c r="O1" t="inlineStr">
        <is>
          <t>NASA Physical</t>
        </is>
      </c>
      <c r="P1" t="inlineStr">
        <is>
          <t>NASA Temporal</t>
        </is>
      </c>
      <c r="Q1" t="inlineStr">
        <is>
          <t>NASA Performance</t>
        </is>
      </c>
      <c r="R1" t="inlineStr">
        <is>
          <t>NASA Effort</t>
        </is>
      </c>
      <c r="S1" t="inlineStr">
        <is>
          <t>NASA Frustration</t>
        </is>
      </c>
      <c r="T1" t="inlineStr">
        <is>
          <t>Evidence item 1</t>
        </is>
      </c>
      <c r="U1" t="inlineStr">
        <is>
          <t>Evidence item 2</t>
        </is>
      </c>
      <c r="V1" t="inlineStr">
        <is>
          <t>Evidence item 3</t>
        </is>
      </c>
      <c r="W1" t="inlineStr">
        <is>
          <t>Evidence item 4</t>
        </is>
      </c>
      <c r="X1" t="inlineStr">
        <is>
          <t>Control item 1</t>
        </is>
      </c>
      <c r="Y1" t="inlineStr">
        <is>
          <t>Control item 2</t>
        </is>
      </c>
      <c r="Z1" t="inlineStr">
        <is>
          <t>Control item 3</t>
        </is>
      </c>
      <c r="AA1" t="inlineStr">
        <is>
          <t>Control item 4</t>
        </is>
      </c>
      <c r="AB1" t="inlineStr">
        <is>
          <t>SUS score</t>
        </is>
      </c>
      <c r="AC1" t="inlineStr">
        <is>
          <t>Raw NASA-TLX</t>
        </is>
      </c>
      <c r="AD1" t="inlineStr">
        <is>
          <t>Evidence mean</t>
        </is>
      </c>
      <c r="AE1" t="inlineStr">
        <is>
          <t>Control mean</t>
        </is>
      </c>
      <c r="AF1" t="inlineStr">
        <is>
          <t>Open feedback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>
        <f>IF(D2="","",((D2-1)+(5-E2)+(F2-1)+(5-G2)+(H2-1)+(5-I2)+(J2-1)+(5-K2)+(L2-1)+(5-M2))*2.5)</f>
        <v/>
      </c>
      <c r="AC2">
        <f>IF(N2="","",AVERAGE(N2:S2))</f>
        <v/>
      </c>
      <c r="AD2">
        <f>IF(T2="","",AVERAGE(T2:W2))</f>
        <v/>
      </c>
      <c r="AE2">
        <f>IF(X2="","",AVERAGE(X2:AA2))</f>
        <v/>
      </c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>
        <f>IF(D3="","",((D3-1)+(5-E3)+(F3-1)+(5-G3)+(H3-1)+(5-I3)+(J3-1)+(5-K3)+(L3-1)+(5-M3))*2.5)</f>
        <v/>
      </c>
      <c r="AC3">
        <f>IF(N3="","",AVERAGE(N3:S3))</f>
        <v/>
      </c>
      <c r="AD3">
        <f>IF(T3="","",AVERAGE(T3:W3))</f>
        <v/>
      </c>
      <c r="AE3">
        <f>IF(X3="","",AVERAGE(X3:AA3))</f>
        <v/>
      </c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>
        <f>IF(D4="","",((D4-1)+(5-E4)+(F4-1)+(5-G4)+(H4-1)+(5-I4)+(J4-1)+(5-K4)+(L4-1)+(5-M4))*2.5)</f>
        <v/>
      </c>
      <c r="AC4">
        <f>IF(N4="","",AVERAGE(N4:S4))</f>
        <v/>
      </c>
      <c r="AD4">
        <f>IF(T4="","",AVERAGE(T4:W4))</f>
        <v/>
      </c>
      <c r="AE4">
        <f>IF(X4="","",AVERAGE(X4:AA4))</f>
        <v/>
      </c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>
        <f>IF(D5="","",((D5-1)+(5-E5)+(F5-1)+(5-G5)+(H5-1)+(5-I5)+(J5-1)+(5-K5)+(L5-1)+(5-M5))*2.5)</f>
        <v/>
      </c>
      <c r="AC5">
        <f>IF(N5="","",AVERAGE(N5:S5))</f>
        <v/>
      </c>
      <c r="AD5">
        <f>IF(T5="","",AVERAGE(T5:W5))</f>
        <v/>
      </c>
      <c r="AE5">
        <f>IF(X5="","",AVERAGE(X5:AA5))</f>
        <v/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>
        <f>IF(D6="","",((D6-1)+(5-E6)+(F6-1)+(5-G6)+(H6-1)+(5-I6)+(J6-1)+(5-K6)+(L6-1)+(5-M6))*2.5)</f>
        <v/>
      </c>
      <c r="AC6">
        <f>IF(N6="","",AVERAGE(N6:S6))</f>
        <v/>
      </c>
      <c r="AD6">
        <f>IF(T6="","",AVERAGE(T6:W6))</f>
        <v/>
      </c>
      <c r="AE6">
        <f>IF(X6="","",AVERAGE(X6:AA6))</f>
        <v/>
      </c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>
        <f>IF(D7="","",((D7-1)+(5-E7)+(F7-1)+(5-G7)+(H7-1)+(5-I7)+(J7-1)+(5-K7)+(L7-1)+(5-M7))*2.5)</f>
        <v/>
      </c>
      <c r="AC7">
        <f>IF(N7="","",AVERAGE(N7:S7))</f>
        <v/>
      </c>
      <c r="AD7">
        <f>IF(T7="","",AVERAGE(T7:W7))</f>
        <v/>
      </c>
      <c r="AE7">
        <f>IF(X7="","",AVERAGE(X7:AA7))</f>
        <v/>
      </c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>
        <f>IF(D8="","",((D8-1)+(5-E8)+(F8-1)+(5-G8)+(H8-1)+(5-I8)+(J8-1)+(5-K8)+(L8-1)+(5-M8))*2.5)</f>
        <v/>
      </c>
      <c r="AC8">
        <f>IF(N8="","",AVERAGE(N8:S8))</f>
        <v/>
      </c>
      <c r="AD8">
        <f>IF(T8="","",AVERAGE(T8:W8))</f>
        <v/>
      </c>
      <c r="AE8">
        <f>IF(X8="","",AVERAGE(X8:AA8))</f>
        <v/>
      </c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>
        <f>IF(D9="","",((D9-1)+(5-E9)+(F9-1)+(5-G9)+(H9-1)+(5-I9)+(J9-1)+(5-K9)+(L9-1)+(5-M9))*2.5)</f>
        <v/>
      </c>
      <c r="AC9">
        <f>IF(N9="","",AVERAGE(N9:S9))</f>
        <v/>
      </c>
      <c r="AD9">
        <f>IF(T9="","",AVERAGE(T9:W9))</f>
        <v/>
      </c>
      <c r="AE9">
        <f>IF(X9="","",AVERAGE(X9:AA9))</f>
        <v/>
      </c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>
        <f>IF(D10="","",((D10-1)+(5-E10)+(F10-1)+(5-G10)+(H10-1)+(5-I10)+(J10-1)+(5-K10)+(L10-1)+(5-M10))*2.5)</f>
        <v/>
      </c>
      <c r="AC10">
        <f>IF(N10="","",AVERAGE(N10:S10))</f>
        <v/>
      </c>
      <c r="AD10">
        <f>IF(T10="","",AVERAGE(T10:W10))</f>
        <v/>
      </c>
      <c r="AE10">
        <f>IF(X10="","",AVERAGE(X10:AA10))</f>
        <v/>
      </c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>
        <f>IF(D11="","",((D11-1)+(5-E11)+(F11-1)+(5-G11)+(H11-1)+(5-I11)+(J11-1)+(5-K11)+(L11-1)+(5-M11))*2.5)</f>
        <v/>
      </c>
      <c r="AC11">
        <f>IF(N11="","",AVERAGE(N11:S11))</f>
        <v/>
      </c>
      <c r="AD11">
        <f>IF(T11="","",AVERAGE(T11:W11))</f>
        <v/>
      </c>
      <c r="AE11">
        <f>IF(X11="","",AVERAGE(X11:AA11))</f>
        <v/>
      </c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>
        <f>IF(D12="","",((D12-1)+(5-E12)+(F12-1)+(5-G12)+(H12-1)+(5-I12)+(J12-1)+(5-K12)+(L12-1)+(5-M12))*2.5)</f>
        <v/>
      </c>
      <c r="AC12">
        <f>IF(N12="","",AVERAGE(N12:S12))</f>
        <v/>
      </c>
      <c r="AD12">
        <f>IF(T12="","",AVERAGE(T12:W12))</f>
        <v/>
      </c>
      <c r="AE12">
        <f>IF(X12="","",AVERAGE(X12:AA12))</f>
        <v/>
      </c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>
        <f>IF(D13="","",((D13-1)+(5-E13)+(F13-1)+(5-G13)+(H13-1)+(5-I13)+(J13-1)+(5-K13)+(L13-1)+(5-M13))*2.5)</f>
        <v/>
      </c>
      <c r="AC13">
        <f>IF(N13="","",AVERAGE(N13:S13))</f>
        <v/>
      </c>
      <c r="AD13">
        <f>IF(T13="","",AVERAGE(T13:W13))</f>
        <v/>
      </c>
      <c r="AE13">
        <f>IF(X13="","",AVERAGE(X13:AA13))</f>
        <v/>
      </c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>
        <f>IF(D14="","",((D14-1)+(5-E14)+(F14-1)+(5-G14)+(H14-1)+(5-I14)+(J14-1)+(5-K14)+(L14-1)+(5-M14))*2.5)</f>
        <v/>
      </c>
      <c r="AC14">
        <f>IF(N14="","",AVERAGE(N14:S14))</f>
        <v/>
      </c>
      <c r="AD14">
        <f>IF(T14="","",AVERAGE(T14:W14))</f>
        <v/>
      </c>
      <c r="AE14">
        <f>IF(X14="","",AVERAGE(X14:AA14))</f>
        <v/>
      </c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>
        <f>IF(D15="","",((D15-1)+(5-E15)+(F15-1)+(5-G15)+(H15-1)+(5-I15)+(J15-1)+(5-K15)+(L15-1)+(5-M15))*2.5)</f>
        <v/>
      </c>
      <c r="AC15">
        <f>IF(N15="","",AVERAGE(N15:S15))</f>
        <v/>
      </c>
      <c r="AD15">
        <f>IF(T15="","",AVERAGE(T15:W15))</f>
        <v/>
      </c>
      <c r="AE15">
        <f>IF(X15="","",AVERAGE(X15:AA15))</f>
        <v/>
      </c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>
        <f>IF(D16="","",((D16-1)+(5-E16)+(F16-1)+(5-G16)+(H16-1)+(5-I16)+(J16-1)+(5-K16)+(L16-1)+(5-M16))*2.5)</f>
        <v/>
      </c>
      <c r="AC16">
        <f>IF(N16="","",AVERAGE(N16:S16))</f>
        <v/>
      </c>
      <c r="AD16">
        <f>IF(T16="","",AVERAGE(T16:W16))</f>
        <v/>
      </c>
      <c r="AE16">
        <f>IF(X16="","",AVERAGE(X16:AA16))</f>
        <v/>
      </c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>
        <f>IF(D17="","",((D17-1)+(5-E17)+(F17-1)+(5-G17)+(H17-1)+(5-I17)+(J17-1)+(5-K17)+(L17-1)+(5-M17))*2.5)</f>
        <v/>
      </c>
      <c r="AC17">
        <f>IF(N17="","",AVERAGE(N17:S17))</f>
        <v/>
      </c>
      <c r="AD17">
        <f>IF(T17="","",AVERAGE(T17:W17))</f>
        <v/>
      </c>
      <c r="AE17">
        <f>IF(X17="","",AVERAGE(X17:AA17))</f>
        <v/>
      </c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>
        <f>IF(D18="","",((D18-1)+(5-E18)+(F18-1)+(5-G18)+(H18-1)+(5-I18)+(J18-1)+(5-K18)+(L18-1)+(5-M18))*2.5)</f>
        <v/>
      </c>
      <c r="AC18">
        <f>IF(N18="","",AVERAGE(N18:S18))</f>
        <v/>
      </c>
      <c r="AD18">
        <f>IF(T18="","",AVERAGE(T18:W18))</f>
        <v/>
      </c>
      <c r="AE18">
        <f>IF(X18="","",AVERAGE(X18:AA18))</f>
        <v/>
      </c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>
        <f>IF(D19="","",((D19-1)+(5-E19)+(F19-1)+(5-G19)+(H19-1)+(5-I19)+(J19-1)+(5-K19)+(L19-1)+(5-M19))*2.5)</f>
        <v/>
      </c>
      <c r="AC19">
        <f>IF(N19="","",AVERAGE(N19:S19))</f>
        <v/>
      </c>
      <c r="AD19">
        <f>IF(T19="","",AVERAGE(T19:W19))</f>
        <v/>
      </c>
      <c r="AE19">
        <f>IF(X19="","",AVERAGE(X19:AA19))</f>
        <v/>
      </c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>
        <f>IF(D20="","",((D20-1)+(5-E20)+(F20-1)+(5-G20)+(H20-1)+(5-I20)+(J20-1)+(5-K20)+(L20-1)+(5-M20))*2.5)</f>
        <v/>
      </c>
      <c r="AC20">
        <f>IF(N20="","",AVERAGE(N20:S20))</f>
        <v/>
      </c>
      <c r="AD20">
        <f>IF(T20="","",AVERAGE(T20:W20))</f>
        <v/>
      </c>
      <c r="AE20">
        <f>IF(X20="","",AVERAGE(X20:AA20))</f>
        <v/>
      </c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>
        <f>IF(D21="","",((D21-1)+(5-E21)+(F21-1)+(5-G21)+(H21-1)+(5-I21)+(J21-1)+(5-K21)+(L21-1)+(5-M21))*2.5)</f>
        <v/>
      </c>
      <c r="AC21">
        <f>IF(N21="","",AVERAGE(N21:S21))</f>
        <v/>
      </c>
      <c r="AD21">
        <f>IF(T21="","",AVERAGE(T21:W21))</f>
        <v/>
      </c>
      <c r="AE21">
        <f>IF(X21="","",AVERAGE(X21:AA21))</f>
        <v/>
      </c>
      <c r="AF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>
        <f>IF(D22="","",((D22-1)+(5-E22)+(F22-1)+(5-G22)+(H22-1)+(5-I22)+(J22-1)+(5-K22)+(L22-1)+(5-M22))*2.5)</f>
        <v/>
      </c>
      <c r="AC22">
        <f>IF(N22="","",AVERAGE(N22:S22))</f>
        <v/>
      </c>
      <c r="AD22">
        <f>IF(T22="","",AVERAGE(T22:W22))</f>
        <v/>
      </c>
      <c r="AE22">
        <f>IF(X22="","",AVERAGE(X22:AA22))</f>
        <v/>
      </c>
      <c r="AF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>
        <f>IF(D23="","",((D23-1)+(5-E23)+(F23-1)+(5-G23)+(H23-1)+(5-I23)+(J23-1)+(5-K23)+(L23-1)+(5-M23))*2.5)</f>
        <v/>
      </c>
      <c r="AC23">
        <f>IF(N23="","",AVERAGE(N23:S23))</f>
        <v/>
      </c>
      <c r="AD23">
        <f>IF(T23="","",AVERAGE(T23:W23))</f>
        <v/>
      </c>
      <c r="AE23">
        <f>IF(X23="","",AVERAGE(X23:AA23))</f>
        <v/>
      </c>
      <c r="AF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>
        <f>IF(D24="","",((D24-1)+(5-E24)+(F24-1)+(5-G24)+(H24-1)+(5-I24)+(J24-1)+(5-K24)+(L24-1)+(5-M24))*2.5)</f>
        <v/>
      </c>
      <c r="AC24">
        <f>IF(N24="","",AVERAGE(N24:S24))</f>
        <v/>
      </c>
      <c r="AD24">
        <f>IF(T24="","",AVERAGE(T24:W24))</f>
        <v/>
      </c>
      <c r="AE24">
        <f>IF(X24="","",AVERAGE(X24:AA24))</f>
        <v/>
      </c>
      <c r="AF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>
        <f>IF(D25="","",((D25-1)+(5-E25)+(F25-1)+(5-G25)+(H25-1)+(5-I25)+(J25-1)+(5-K25)+(L25-1)+(5-M25))*2.5)</f>
        <v/>
      </c>
      <c r="AC25">
        <f>IF(N25="","",AVERAGE(N25:S25))</f>
        <v/>
      </c>
      <c r="AD25">
        <f>IF(T25="","",AVERAGE(T25:W25))</f>
        <v/>
      </c>
      <c r="AE25">
        <f>IF(X25="","",AVERAGE(X25:AA25))</f>
        <v/>
      </c>
      <c r="AF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>
        <f>IF(D26="","",((D26-1)+(5-E26)+(F26-1)+(5-G26)+(H26-1)+(5-I26)+(J26-1)+(5-K26)+(L26-1)+(5-M26))*2.5)</f>
        <v/>
      </c>
      <c r="AC26">
        <f>IF(N26="","",AVERAGE(N26:S26))</f>
        <v/>
      </c>
      <c r="AD26">
        <f>IF(T26="","",AVERAGE(T26:W26))</f>
        <v/>
      </c>
      <c r="AE26">
        <f>IF(X26="","",AVERAGE(X26:AA26))</f>
        <v/>
      </c>
      <c r="AF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>
        <f>IF(D27="","",((D27-1)+(5-E27)+(F27-1)+(5-G27)+(H27-1)+(5-I27)+(J27-1)+(5-K27)+(L27-1)+(5-M27))*2.5)</f>
        <v/>
      </c>
      <c r="AC27">
        <f>IF(N27="","",AVERAGE(N27:S27))</f>
        <v/>
      </c>
      <c r="AD27">
        <f>IF(T27="","",AVERAGE(T27:W27))</f>
        <v/>
      </c>
      <c r="AE27">
        <f>IF(X27="","",AVERAGE(X27:AA27))</f>
        <v/>
      </c>
      <c r="AF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>
        <f>IF(D28="","",((D28-1)+(5-E28)+(F28-1)+(5-G28)+(H28-1)+(5-I28)+(J28-1)+(5-K28)+(L28-1)+(5-M28))*2.5)</f>
        <v/>
      </c>
      <c r="AC28">
        <f>IF(N28="","",AVERAGE(N28:S28))</f>
        <v/>
      </c>
      <c r="AD28">
        <f>IF(T28="","",AVERAGE(T28:W28))</f>
        <v/>
      </c>
      <c r="AE28">
        <f>IF(X28="","",AVERAGE(X28:AA28))</f>
        <v/>
      </c>
      <c r="AF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>
        <f>IF(D29="","",((D29-1)+(5-E29)+(F29-1)+(5-G29)+(H29-1)+(5-I29)+(J29-1)+(5-K29)+(L29-1)+(5-M29))*2.5)</f>
        <v/>
      </c>
      <c r="AC29">
        <f>IF(N29="","",AVERAGE(N29:S29))</f>
        <v/>
      </c>
      <c r="AD29">
        <f>IF(T29="","",AVERAGE(T29:W29))</f>
        <v/>
      </c>
      <c r="AE29">
        <f>IF(X29="","",AVERAGE(X29:AA29))</f>
        <v/>
      </c>
      <c r="AF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>
        <f>IF(D30="","",((D30-1)+(5-E30)+(F30-1)+(5-G30)+(H30-1)+(5-I30)+(J30-1)+(5-K30)+(L30-1)+(5-M30))*2.5)</f>
        <v/>
      </c>
      <c r="AC30">
        <f>IF(N30="","",AVERAGE(N30:S30))</f>
        <v/>
      </c>
      <c r="AD30">
        <f>IF(T30="","",AVERAGE(T30:W30))</f>
        <v/>
      </c>
      <c r="AE30">
        <f>IF(X30="","",AVERAGE(X30:AA30))</f>
        <v/>
      </c>
      <c r="A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>
        <f>IF(D31="","",((D31-1)+(5-E31)+(F31-1)+(5-G31)+(H31-1)+(5-I31)+(J31-1)+(5-K31)+(L31-1)+(5-M31))*2.5)</f>
        <v/>
      </c>
      <c r="AC31">
        <f>IF(N31="","",AVERAGE(N31:S31))</f>
        <v/>
      </c>
      <c r="AD31">
        <f>IF(T31="","",AVERAGE(T31:W31))</f>
        <v/>
      </c>
      <c r="AE31">
        <f>IF(X31="","",AVERAGE(X31:AA31))</f>
        <v/>
      </c>
      <c r="AF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>
        <f>IF(D32="","",((D32-1)+(5-E32)+(F32-1)+(5-G32)+(H32-1)+(5-I32)+(J32-1)+(5-K32)+(L32-1)+(5-M32))*2.5)</f>
        <v/>
      </c>
      <c r="AC32">
        <f>IF(N32="","",AVERAGE(N32:S32))</f>
        <v/>
      </c>
      <c r="AD32">
        <f>IF(T32="","",AVERAGE(T32:W32))</f>
        <v/>
      </c>
      <c r="AE32">
        <f>IF(X32="","",AVERAGE(X32:AA32))</f>
        <v/>
      </c>
      <c r="AF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>
        <f>IF(D33="","",((D33-1)+(5-E33)+(F33-1)+(5-G33)+(H33-1)+(5-I33)+(J33-1)+(5-K33)+(L33-1)+(5-M33))*2.5)</f>
        <v/>
      </c>
      <c r="AC33">
        <f>IF(N33="","",AVERAGE(N33:S33))</f>
        <v/>
      </c>
      <c r="AD33">
        <f>IF(T33="","",AVERAGE(T33:W33))</f>
        <v/>
      </c>
      <c r="AE33">
        <f>IF(X33="","",AVERAGE(X33:AA33))</f>
        <v/>
      </c>
      <c r="AF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>
        <f>IF(D34="","",((D34-1)+(5-E34)+(F34-1)+(5-G34)+(H34-1)+(5-I34)+(J34-1)+(5-K34)+(L34-1)+(5-M34))*2.5)</f>
        <v/>
      </c>
      <c r="AC34">
        <f>IF(N34="","",AVERAGE(N34:S34))</f>
        <v/>
      </c>
      <c r="AD34">
        <f>IF(T34="","",AVERAGE(T34:W34))</f>
        <v/>
      </c>
      <c r="AE34">
        <f>IF(X34="","",AVERAGE(X34:AA34))</f>
        <v/>
      </c>
      <c r="A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>
        <f>IF(D35="","",((D35-1)+(5-E35)+(F35-1)+(5-G35)+(H35-1)+(5-I35)+(J35-1)+(5-K35)+(L35-1)+(5-M35))*2.5)</f>
        <v/>
      </c>
      <c r="AC35">
        <f>IF(N35="","",AVERAGE(N35:S35))</f>
        <v/>
      </c>
      <c r="AD35">
        <f>IF(T35="","",AVERAGE(T35:W35))</f>
        <v/>
      </c>
      <c r="AE35">
        <f>IF(X35="","",AVERAGE(X35:AA35))</f>
        <v/>
      </c>
      <c r="A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>
        <f>IF(D36="","",((D36-1)+(5-E36)+(F36-1)+(5-G36)+(H36-1)+(5-I36)+(J36-1)+(5-K36)+(L36-1)+(5-M36))*2.5)</f>
        <v/>
      </c>
      <c r="AC36">
        <f>IF(N36="","",AVERAGE(N36:S36))</f>
        <v/>
      </c>
      <c r="AD36">
        <f>IF(T36="","",AVERAGE(T36:W36))</f>
        <v/>
      </c>
      <c r="AE36">
        <f>IF(X36="","",AVERAGE(X36:AA36))</f>
        <v/>
      </c>
      <c r="A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>
        <f>IF(D37="","",((D37-1)+(5-E37)+(F37-1)+(5-G37)+(H37-1)+(5-I37)+(J37-1)+(5-K37)+(L37-1)+(5-M37))*2.5)</f>
        <v/>
      </c>
      <c r="AC37">
        <f>IF(N37="","",AVERAGE(N37:S37))</f>
        <v/>
      </c>
      <c r="AD37">
        <f>IF(T37="","",AVERAGE(T37:W37))</f>
        <v/>
      </c>
      <c r="AE37">
        <f>IF(X37="","",AVERAGE(X37:AA37))</f>
        <v/>
      </c>
      <c r="A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>
        <f>IF(D38="","",((D38-1)+(5-E38)+(F38-1)+(5-G38)+(H38-1)+(5-I38)+(J38-1)+(5-K38)+(L38-1)+(5-M38))*2.5)</f>
        <v/>
      </c>
      <c r="AC38">
        <f>IF(N38="","",AVERAGE(N38:S38))</f>
        <v/>
      </c>
      <c r="AD38">
        <f>IF(T38="","",AVERAGE(T38:W38))</f>
        <v/>
      </c>
      <c r="AE38">
        <f>IF(X38="","",AVERAGE(X38:AA38))</f>
        <v/>
      </c>
      <c r="A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>
        <f>IF(D39="","",((D39-1)+(5-E39)+(F39-1)+(5-G39)+(H39-1)+(5-I39)+(J39-1)+(5-K39)+(L39-1)+(5-M39))*2.5)</f>
        <v/>
      </c>
      <c r="AC39">
        <f>IF(N39="","",AVERAGE(N39:S39))</f>
        <v/>
      </c>
      <c r="AD39">
        <f>IF(T39="","",AVERAGE(T39:W39))</f>
        <v/>
      </c>
      <c r="AE39">
        <f>IF(X39="","",AVERAGE(X39:AA39))</f>
        <v/>
      </c>
      <c r="A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>
        <f>IF(D40="","",((D40-1)+(5-E40)+(F40-1)+(5-G40)+(H40-1)+(5-I40)+(J40-1)+(5-K40)+(L40-1)+(5-M40))*2.5)</f>
        <v/>
      </c>
      <c r="AC40">
        <f>IF(N40="","",AVERAGE(N40:S40))</f>
        <v/>
      </c>
      <c r="AD40">
        <f>IF(T40="","",AVERAGE(T40:W40))</f>
        <v/>
      </c>
      <c r="AE40">
        <f>IF(X40="","",AVERAGE(X40:AA40))</f>
        <v/>
      </c>
      <c r="A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>
        <f>IF(D41="","",((D41-1)+(5-E41)+(F41-1)+(5-G41)+(H41-1)+(5-I41)+(J41-1)+(5-K41)+(L41-1)+(5-M41))*2.5)</f>
        <v/>
      </c>
      <c r="AC41">
        <f>IF(N41="","",AVERAGE(N41:S41))</f>
        <v/>
      </c>
      <c r="AD41">
        <f>IF(T41="","",AVERAGE(T41:W41))</f>
        <v/>
      </c>
      <c r="AE41">
        <f>IF(X41="","",AVERAGE(X41:AA41))</f>
        <v/>
      </c>
      <c r="A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>
        <f>IF(D42="","",((D42-1)+(5-E42)+(F42-1)+(5-G42)+(H42-1)+(5-I42)+(J42-1)+(5-K42)+(L42-1)+(5-M42))*2.5)</f>
        <v/>
      </c>
      <c r="AC42">
        <f>IF(N42="","",AVERAGE(N42:S42))</f>
        <v/>
      </c>
      <c r="AD42">
        <f>IF(T42="","",AVERAGE(T42:W42))</f>
        <v/>
      </c>
      <c r="AE42">
        <f>IF(X42="","",AVERAGE(X42:AA42))</f>
        <v/>
      </c>
      <c r="A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>
        <f>IF(D43="","",((D43-1)+(5-E43)+(F43-1)+(5-G43)+(H43-1)+(5-I43)+(J43-1)+(5-K43)+(L43-1)+(5-M43))*2.5)</f>
        <v/>
      </c>
      <c r="AC43">
        <f>IF(N43="","",AVERAGE(N43:S43))</f>
        <v/>
      </c>
      <c r="AD43">
        <f>IF(T43="","",AVERAGE(T43:W43))</f>
        <v/>
      </c>
      <c r="AE43">
        <f>IF(X43="","",AVERAGE(X43:AA43))</f>
        <v/>
      </c>
      <c r="A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>
        <f>IF(D44="","",((D44-1)+(5-E44)+(F44-1)+(5-G44)+(H44-1)+(5-I44)+(J44-1)+(5-K44)+(L44-1)+(5-M44))*2.5)</f>
        <v/>
      </c>
      <c r="AC44">
        <f>IF(N44="","",AVERAGE(N44:S44))</f>
        <v/>
      </c>
      <c r="AD44">
        <f>IF(T44="","",AVERAGE(T44:W44))</f>
        <v/>
      </c>
      <c r="AE44">
        <f>IF(X44="","",AVERAGE(X44:AA44))</f>
        <v/>
      </c>
      <c r="A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>
        <f>IF(D45="","",((D45-1)+(5-E45)+(F45-1)+(5-G45)+(H45-1)+(5-I45)+(J45-1)+(5-K45)+(L45-1)+(5-M45))*2.5)</f>
        <v/>
      </c>
      <c r="AC45">
        <f>IF(N45="","",AVERAGE(N45:S45))</f>
        <v/>
      </c>
      <c r="AD45">
        <f>IF(T45="","",AVERAGE(T45:W45))</f>
        <v/>
      </c>
      <c r="AE45">
        <f>IF(X45="","",AVERAGE(X45:AA45))</f>
        <v/>
      </c>
      <c r="A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>
        <f>IF(D46="","",((D46-1)+(5-E46)+(F46-1)+(5-G46)+(H46-1)+(5-I46)+(J46-1)+(5-K46)+(L46-1)+(5-M46))*2.5)</f>
        <v/>
      </c>
      <c r="AC46">
        <f>IF(N46="","",AVERAGE(N46:S46))</f>
        <v/>
      </c>
      <c r="AD46">
        <f>IF(T46="","",AVERAGE(T46:W46))</f>
        <v/>
      </c>
      <c r="AE46">
        <f>IF(X46="","",AVERAGE(X46:AA46))</f>
        <v/>
      </c>
      <c r="A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>
        <f>IF(D47="","",((D47-1)+(5-E47)+(F47-1)+(5-G47)+(H47-1)+(5-I47)+(J47-1)+(5-K47)+(L47-1)+(5-M47))*2.5)</f>
        <v/>
      </c>
      <c r="AC47">
        <f>IF(N47="","",AVERAGE(N47:S47))</f>
        <v/>
      </c>
      <c r="AD47">
        <f>IF(T47="","",AVERAGE(T47:W47))</f>
        <v/>
      </c>
      <c r="AE47">
        <f>IF(X47="","",AVERAGE(X47:AA47))</f>
        <v/>
      </c>
      <c r="A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>
        <f>IF(D48="","",((D48-1)+(5-E48)+(F48-1)+(5-G48)+(H48-1)+(5-I48)+(J48-1)+(5-K48)+(L48-1)+(5-M48))*2.5)</f>
        <v/>
      </c>
      <c r="AC48">
        <f>IF(N48="","",AVERAGE(N48:S48))</f>
        <v/>
      </c>
      <c r="AD48">
        <f>IF(T48="","",AVERAGE(T48:W48))</f>
        <v/>
      </c>
      <c r="AE48">
        <f>IF(X48="","",AVERAGE(X48:AA48))</f>
        <v/>
      </c>
      <c r="A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>
        <f>IF(D49="","",((D49-1)+(5-E49)+(F49-1)+(5-G49)+(H49-1)+(5-I49)+(J49-1)+(5-K49)+(L49-1)+(5-M49))*2.5)</f>
        <v/>
      </c>
      <c r="AC49">
        <f>IF(N49="","",AVERAGE(N49:S49))</f>
        <v/>
      </c>
      <c r="AD49">
        <f>IF(T49="","",AVERAGE(T49:W49))</f>
        <v/>
      </c>
      <c r="AE49">
        <f>IF(X49="","",AVERAGE(X49:AA49))</f>
        <v/>
      </c>
      <c r="A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>
        <f>IF(D50="","",((D50-1)+(5-E50)+(F50-1)+(5-G50)+(H50-1)+(5-I50)+(J50-1)+(5-K50)+(L50-1)+(5-M50))*2.5)</f>
        <v/>
      </c>
      <c r="AC50">
        <f>IF(N50="","",AVERAGE(N50:S50))</f>
        <v/>
      </c>
      <c r="AD50">
        <f>IF(T50="","",AVERAGE(T50:W50))</f>
        <v/>
      </c>
      <c r="AE50">
        <f>IF(X50="","",AVERAGE(X50:AA50))</f>
        <v/>
      </c>
      <c r="A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>
        <f>IF(D51="","",((D51-1)+(5-E51)+(F51-1)+(5-G51)+(H51-1)+(5-I51)+(J51-1)+(5-K51)+(L51-1)+(5-M51))*2.5)</f>
        <v/>
      </c>
      <c r="AC51">
        <f>IF(N51="","",AVERAGE(N51:S51))</f>
        <v/>
      </c>
      <c r="AD51">
        <f>IF(T51="","",AVERAGE(T51:W51))</f>
        <v/>
      </c>
      <c r="AE51">
        <f>IF(X51="","",AVERAGE(X51:AA51))</f>
        <v/>
      </c>
      <c r="A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>
        <f>IF(D52="","",((D52-1)+(5-E52)+(F52-1)+(5-G52)+(H52-1)+(5-I52)+(J52-1)+(5-K52)+(L52-1)+(5-M52))*2.5)</f>
        <v/>
      </c>
      <c r="AC52">
        <f>IF(N52="","",AVERAGE(N52:S52))</f>
        <v/>
      </c>
      <c r="AD52">
        <f>IF(T52="","",AVERAGE(T52:W52))</f>
        <v/>
      </c>
      <c r="AE52">
        <f>IF(X52="","",AVERAGE(X52:AA52))</f>
        <v/>
      </c>
      <c r="A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>
        <f>IF(D53="","",((D53-1)+(5-E53)+(F53-1)+(5-G53)+(H53-1)+(5-I53)+(J53-1)+(5-K53)+(L53-1)+(5-M53))*2.5)</f>
        <v/>
      </c>
      <c r="AC53">
        <f>IF(N53="","",AVERAGE(N53:S53))</f>
        <v/>
      </c>
      <c r="AD53">
        <f>IF(T53="","",AVERAGE(T53:W53))</f>
        <v/>
      </c>
      <c r="AE53">
        <f>IF(X53="","",AVERAGE(X53:AA53))</f>
        <v/>
      </c>
      <c r="A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>
        <f>IF(D54="","",((D54-1)+(5-E54)+(F54-1)+(5-G54)+(H54-1)+(5-I54)+(J54-1)+(5-K54)+(L54-1)+(5-M54))*2.5)</f>
        <v/>
      </c>
      <c r="AC54">
        <f>IF(N54="","",AVERAGE(N54:S54))</f>
        <v/>
      </c>
      <c r="AD54">
        <f>IF(T54="","",AVERAGE(T54:W54))</f>
        <v/>
      </c>
      <c r="AE54">
        <f>IF(X54="","",AVERAGE(X54:AA54))</f>
        <v/>
      </c>
      <c r="A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>
        <f>IF(D55="","",((D55-1)+(5-E55)+(F55-1)+(5-G55)+(H55-1)+(5-I55)+(J55-1)+(5-K55)+(L55-1)+(5-M55))*2.5)</f>
        <v/>
      </c>
      <c r="AC55">
        <f>IF(N55="","",AVERAGE(N55:S55))</f>
        <v/>
      </c>
      <c r="AD55">
        <f>IF(T55="","",AVERAGE(T55:W55))</f>
        <v/>
      </c>
      <c r="AE55">
        <f>IF(X55="","",AVERAGE(X55:AA55))</f>
        <v/>
      </c>
      <c r="A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>
        <f>IF(D56="","",((D56-1)+(5-E56)+(F56-1)+(5-G56)+(H56-1)+(5-I56)+(J56-1)+(5-K56)+(L56-1)+(5-M56))*2.5)</f>
        <v/>
      </c>
      <c r="AC56">
        <f>IF(N56="","",AVERAGE(N56:S56))</f>
        <v/>
      </c>
      <c r="AD56">
        <f>IF(T56="","",AVERAGE(T56:W56))</f>
        <v/>
      </c>
      <c r="AE56">
        <f>IF(X56="","",AVERAGE(X56:AA56))</f>
        <v/>
      </c>
      <c r="A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>
        <f>IF(D57="","",((D57-1)+(5-E57)+(F57-1)+(5-G57)+(H57-1)+(5-I57)+(J57-1)+(5-K57)+(L57-1)+(5-M57))*2.5)</f>
        <v/>
      </c>
      <c r="AC57">
        <f>IF(N57="","",AVERAGE(N57:S57))</f>
        <v/>
      </c>
      <c r="AD57">
        <f>IF(T57="","",AVERAGE(T57:W57))</f>
        <v/>
      </c>
      <c r="AE57">
        <f>IF(X57="","",AVERAGE(X57:AA57))</f>
        <v/>
      </c>
      <c r="A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>
        <f>IF(D58="","",((D58-1)+(5-E58)+(F58-1)+(5-G58)+(H58-1)+(5-I58)+(J58-1)+(5-K58)+(L58-1)+(5-M58))*2.5)</f>
        <v/>
      </c>
      <c r="AC58">
        <f>IF(N58="","",AVERAGE(N58:S58))</f>
        <v/>
      </c>
      <c r="AD58">
        <f>IF(T58="","",AVERAGE(T58:W58))</f>
        <v/>
      </c>
      <c r="AE58">
        <f>IF(X58="","",AVERAGE(X58:AA58))</f>
        <v/>
      </c>
      <c r="A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>
        <f>IF(D59="","",((D59-1)+(5-E59)+(F59-1)+(5-G59)+(H59-1)+(5-I59)+(J59-1)+(5-K59)+(L59-1)+(5-M59))*2.5)</f>
        <v/>
      </c>
      <c r="AC59">
        <f>IF(N59="","",AVERAGE(N59:S59))</f>
        <v/>
      </c>
      <c r="AD59">
        <f>IF(T59="","",AVERAGE(T59:W59))</f>
        <v/>
      </c>
      <c r="AE59">
        <f>IF(X59="","",AVERAGE(X59:AA59))</f>
        <v/>
      </c>
      <c r="A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>
        <f>IF(D60="","",((D60-1)+(5-E60)+(F60-1)+(5-G60)+(H60-1)+(5-I60)+(J60-1)+(5-K60)+(L60-1)+(5-M60))*2.5)</f>
        <v/>
      </c>
      <c r="AC60">
        <f>IF(N60="","",AVERAGE(N60:S60))</f>
        <v/>
      </c>
      <c r="AD60">
        <f>IF(T60="","",AVERAGE(T60:W60))</f>
        <v/>
      </c>
      <c r="AE60">
        <f>IF(X60="","",AVERAGE(X60:AA60))</f>
        <v/>
      </c>
      <c r="A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>
        <f>IF(D61="","",((D61-1)+(5-E61)+(F61-1)+(5-G61)+(H61-1)+(5-I61)+(J61-1)+(5-K61)+(L61-1)+(5-M61))*2.5)</f>
        <v/>
      </c>
      <c r="AC61">
        <f>IF(N61="","",AVERAGE(N61:S61))</f>
        <v/>
      </c>
      <c r="AD61">
        <f>IF(T61="","",AVERAGE(T61:W61))</f>
        <v/>
      </c>
      <c r="AE61">
        <f>IF(X61="","",AVERAGE(X61:AA61))</f>
        <v/>
      </c>
      <c r="A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>
        <f>IF(D62="","",((D62-1)+(5-E62)+(F62-1)+(5-G62)+(H62-1)+(5-I62)+(J62-1)+(5-K62)+(L62-1)+(5-M62))*2.5)</f>
        <v/>
      </c>
      <c r="AC62">
        <f>IF(N62="","",AVERAGE(N62:S62))</f>
        <v/>
      </c>
      <c r="AD62">
        <f>IF(T62="","",AVERAGE(T62:W62))</f>
        <v/>
      </c>
      <c r="AE62">
        <f>IF(X62="","",AVERAGE(X62:AA62))</f>
        <v/>
      </c>
      <c r="A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>
        <f>IF(D63="","",((D63-1)+(5-E63)+(F63-1)+(5-G63)+(H63-1)+(5-I63)+(J63-1)+(5-K63)+(L63-1)+(5-M63))*2.5)</f>
        <v/>
      </c>
      <c r="AC63">
        <f>IF(N63="","",AVERAGE(N63:S63))</f>
        <v/>
      </c>
      <c r="AD63">
        <f>IF(T63="","",AVERAGE(T63:W63))</f>
        <v/>
      </c>
      <c r="AE63">
        <f>IF(X63="","",AVERAGE(X63:AA63))</f>
        <v/>
      </c>
      <c r="A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>
        <f>IF(D64="","",((D64-1)+(5-E64)+(F64-1)+(5-G64)+(H64-1)+(5-I64)+(J64-1)+(5-K64)+(L64-1)+(5-M64))*2.5)</f>
        <v/>
      </c>
      <c r="AC64">
        <f>IF(N64="","",AVERAGE(N64:S64))</f>
        <v/>
      </c>
      <c r="AD64">
        <f>IF(T64="","",AVERAGE(T64:W64))</f>
        <v/>
      </c>
      <c r="AE64">
        <f>IF(X64="","",AVERAGE(X64:AA64))</f>
        <v/>
      </c>
      <c r="A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>
        <f>IF(D65="","",((D65-1)+(5-E65)+(F65-1)+(5-G65)+(H65-1)+(5-I65)+(J65-1)+(5-K65)+(L65-1)+(5-M65))*2.5)</f>
        <v/>
      </c>
      <c r="AC65">
        <f>IF(N65="","",AVERAGE(N65:S65))</f>
        <v/>
      </c>
      <c r="AD65">
        <f>IF(T65="","",AVERAGE(T65:W65))</f>
        <v/>
      </c>
      <c r="AE65">
        <f>IF(X65="","",AVERAGE(X65:AA65))</f>
        <v/>
      </c>
      <c r="A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>
        <f>IF(D66="","",((D66-1)+(5-E66)+(F66-1)+(5-G66)+(H66-1)+(5-I66)+(J66-1)+(5-K66)+(L66-1)+(5-M66))*2.5)</f>
        <v/>
      </c>
      <c r="AC66">
        <f>IF(N66="","",AVERAGE(N66:S66))</f>
        <v/>
      </c>
      <c r="AD66">
        <f>IF(T66="","",AVERAGE(T66:W66))</f>
        <v/>
      </c>
      <c r="AE66">
        <f>IF(X66="","",AVERAGE(X66:AA66))</f>
        <v/>
      </c>
      <c r="A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>
        <f>IF(D67="","",((D67-1)+(5-E67)+(F67-1)+(5-G67)+(H67-1)+(5-I67)+(J67-1)+(5-K67)+(L67-1)+(5-M67))*2.5)</f>
        <v/>
      </c>
      <c r="AC67">
        <f>IF(N67="","",AVERAGE(N67:S67))</f>
        <v/>
      </c>
      <c r="AD67">
        <f>IF(T67="","",AVERAGE(T67:W67))</f>
        <v/>
      </c>
      <c r="AE67">
        <f>IF(X67="","",AVERAGE(X67:AA67))</f>
        <v/>
      </c>
      <c r="A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>
        <f>IF(D68="","",((D68-1)+(5-E68)+(F68-1)+(5-G68)+(H68-1)+(5-I68)+(J68-1)+(5-K68)+(L68-1)+(5-M68))*2.5)</f>
        <v/>
      </c>
      <c r="AC68">
        <f>IF(N68="","",AVERAGE(N68:S68))</f>
        <v/>
      </c>
      <c r="AD68">
        <f>IF(T68="","",AVERAGE(T68:W68))</f>
        <v/>
      </c>
      <c r="AE68">
        <f>IF(X68="","",AVERAGE(X68:AA68))</f>
        <v/>
      </c>
      <c r="A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>
        <f>IF(D69="","",((D69-1)+(5-E69)+(F69-1)+(5-G69)+(H69-1)+(5-I69)+(J69-1)+(5-K69)+(L69-1)+(5-M69))*2.5)</f>
        <v/>
      </c>
      <c r="AC69">
        <f>IF(N69="","",AVERAGE(N69:S69))</f>
        <v/>
      </c>
      <c r="AD69">
        <f>IF(T69="","",AVERAGE(T69:W69))</f>
        <v/>
      </c>
      <c r="AE69">
        <f>IF(X69="","",AVERAGE(X69:AA69))</f>
        <v/>
      </c>
      <c r="A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>
        <f>IF(D70="","",((D70-1)+(5-E70)+(F70-1)+(5-G70)+(H70-1)+(5-I70)+(J70-1)+(5-K70)+(L70-1)+(5-M70))*2.5)</f>
        <v/>
      </c>
      <c r="AC70">
        <f>IF(N70="","",AVERAGE(N70:S70))</f>
        <v/>
      </c>
      <c r="AD70">
        <f>IF(T70="","",AVERAGE(T70:W70))</f>
        <v/>
      </c>
      <c r="AE70">
        <f>IF(X70="","",AVERAGE(X70:AA70))</f>
        <v/>
      </c>
      <c r="A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>
        <f>IF(D71="","",((D71-1)+(5-E71)+(F71-1)+(5-G71)+(H71-1)+(5-I71)+(J71-1)+(5-K71)+(L71-1)+(5-M71))*2.5)</f>
        <v/>
      </c>
      <c r="AC71">
        <f>IF(N71="","",AVERAGE(N71:S71))</f>
        <v/>
      </c>
      <c r="AD71">
        <f>IF(T71="","",AVERAGE(T71:W71))</f>
        <v/>
      </c>
      <c r="AE71">
        <f>IF(X71="","",AVERAGE(X71:AA71))</f>
        <v/>
      </c>
      <c r="A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>
        <f>IF(D72="","",((D72-1)+(5-E72)+(F72-1)+(5-G72)+(H72-1)+(5-I72)+(J72-1)+(5-K72)+(L72-1)+(5-M72))*2.5)</f>
        <v/>
      </c>
      <c r="AC72">
        <f>IF(N72="","",AVERAGE(N72:S72))</f>
        <v/>
      </c>
      <c r="AD72">
        <f>IF(T72="","",AVERAGE(T72:W72))</f>
        <v/>
      </c>
      <c r="AE72">
        <f>IF(X72="","",AVERAGE(X72:AA72))</f>
        <v/>
      </c>
      <c r="A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>
        <f>IF(D73="","",((D73-1)+(5-E73)+(F73-1)+(5-G73)+(H73-1)+(5-I73)+(J73-1)+(5-K73)+(L73-1)+(5-M73))*2.5)</f>
        <v/>
      </c>
      <c r="AC73">
        <f>IF(N73="","",AVERAGE(N73:S73))</f>
        <v/>
      </c>
      <c r="AD73">
        <f>IF(T73="","",AVERAGE(T73:W73))</f>
        <v/>
      </c>
      <c r="AE73">
        <f>IF(X73="","",AVERAGE(X73:AA73))</f>
        <v/>
      </c>
      <c r="A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>
        <f>IF(D74="","",((D74-1)+(5-E74)+(F74-1)+(5-G74)+(H74-1)+(5-I74)+(J74-1)+(5-K74)+(L74-1)+(5-M74))*2.5)</f>
        <v/>
      </c>
      <c r="AC74">
        <f>IF(N74="","",AVERAGE(N74:S74))</f>
        <v/>
      </c>
      <c r="AD74">
        <f>IF(T74="","",AVERAGE(T74:W74))</f>
        <v/>
      </c>
      <c r="AE74">
        <f>IF(X74="","",AVERAGE(X74:AA74))</f>
        <v/>
      </c>
      <c r="A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>
        <f>IF(D75="","",((D75-1)+(5-E75)+(F75-1)+(5-G75)+(H75-1)+(5-I75)+(J75-1)+(5-K75)+(L75-1)+(5-M75))*2.5)</f>
        <v/>
      </c>
      <c r="AC75">
        <f>IF(N75="","",AVERAGE(N75:S75))</f>
        <v/>
      </c>
      <c r="AD75">
        <f>IF(T75="","",AVERAGE(T75:W75))</f>
        <v/>
      </c>
      <c r="AE75">
        <f>IF(X75="","",AVERAGE(X75:AA75))</f>
        <v/>
      </c>
      <c r="A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>
        <f>IF(D76="","",((D76-1)+(5-E76)+(F76-1)+(5-G76)+(H76-1)+(5-I76)+(J76-1)+(5-K76)+(L76-1)+(5-M76))*2.5)</f>
        <v/>
      </c>
      <c r="AC76">
        <f>IF(N76="","",AVERAGE(N76:S76))</f>
        <v/>
      </c>
      <c r="AD76">
        <f>IF(T76="","",AVERAGE(T76:W76))</f>
        <v/>
      </c>
      <c r="AE76">
        <f>IF(X76="","",AVERAGE(X76:AA76))</f>
        <v/>
      </c>
      <c r="A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>
        <f>IF(D77="","",((D77-1)+(5-E77)+(F77-1)+(5-G77)+(H77-1)+(5-I77)+(J77-1)+(5-K77)+(L77-1)+(5-M77))*2.5)</f>
        <v/>
      </c>
      <c r="AC77">
        <f>IF(N77="","",AVERAGE(N77:S77))</f>
        <v/>
      </c>
      <c r="AD77">
        <f>IF(T77="","",AVERAGE(T77:W77))</f>
        <v/>
      </c>
      <c r="AE77">
        <f>IF(X77="","",AVERAGE(X77:AA77))</f>
        <v/>
      </c>
      <c r="A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>
        <f>IF(D78="","",((D78-1)+(5-E78)+(F78-1)+(5-G78)+(H78-1)+(5-I78)+(J78-1)+(5-K78)+(L78-1)+(5-M78))*2.5)</f>
        <v/>
      </c>
      <c r="AC78">
        <f>IF(N78="","",AVERAGE(N78:S78))</f>
        <v/>
      </c>
      <c r="AD78">
        <f>IF(T78="","",AVERAGE(T78:W78))</f>
        <v/>
      </c>
      <c r="AE78">
        <f>IF(X78="","",AVERAGE(X78:AA78))</f>
        <v/>
      </c>
      <c r="A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>
        <f>IF(D79="","",((D79-1)+(5-E79)+(F79-1)+(5-G79)+(H79-1)+(5-I79)+(J79-1)+(5-K79)+(L79-1)+(5-M79))*2.5)</f>
        <v/>
      </c>
      <c r="AC79">
        <f>IF(N79="","",AVERAGE(N79:S79))</f>
        <v/>
      </c>
      <c r="AD79">
        <f>IF(T79="","",AVERAGE(T79:W79))</f>
        <v/>
      </c>
      <c r="AE79">
        <f>IF(X79="","",AVERAGE(X79:AA79))</f>
        <v/>
      </c>
      <c r="A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>
        <f>IF(D80="","",((D80-1)+(5-E80)+(F80-1)+(5-G80)+(H80-1)+(5-I80)+(J80-1)+(5-K80)+(L80-1)+(5-M80))*2.5)</f>
        <v/>
      </c>
      <c r="AC80">
        <f>IF(N80="","",AVERAGE(N80:S80))</f>
        <v/>
      </c>
      <c r="AD80">
        <f>IF(T80="","",AVERAGE(T80:W80))</f>
        <v/>
      </c>
      <c r="AE80">
        <f>IF(X80="","",AVERAGE(X80:AA80))</f>
        <v/>
      </c>
      <c r="A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>
        <f>IF(D81="","",((D81-1)+(5-E81)+(F81-1)+(5-G81)+(H81-1)+(5-I81)+(J81-1)+(5-K81)+(L81-1)+(5-M81))*2.5)</f>
        <v/>
      </c>
      <c r="AC81">
        <f>IF(N81="","",AVERAGE(N81:S81))</f>
        <v/>
      </c>
      <c r="AD81">
        <f>IF(T81="","",AVERAGE(T81:W81))</f>
        <v/>
      </c>
      <c r="AE81">
        <f>IF(X81="","",AVERAGE(X81:AA81))</f>
        <v/>
      </c>
      <c r="A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>
        <f>IF(D82="","",((D82-1)+(5-E82)+(F82-1)+(5-G82)+(H82-1)+(5-I82)+(J82-1)+(5-K82)+(L82-1)+(5-M82))*2.5)</f>
        <v/>
      </c>
      <c r="AC82">
        <f>IF(N82="","",AVERAGE(N82:S82))</f>
        <v/>
      </c>
      <c r="AD82">
        <f>IF(T82="","",AVERAGE(T82:W82))</f>
        <v/>
      </c>
      <c r="AE82">
        <f>IF(X82="","",AVERAGE(X82:AA82))</f>
        <v/>
      </c>
      <c r="A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>
        <f>IF(D83="","",((D83-1)+(5-E83)+(F83-1)+(5-G83)+(H83-1)+(5-I83)+(J83-1)+(5-K83)+(L83-1)+(5-M83))*2.5)</f>
        <v/>
      </c>
      <c r="AC83">
        <f>IF(N83="","",AVERAGE(N83:S83))</f>
        <v/>
      </c>
      <c r="AD83">
        <f>IF(T83="","",AVERAGE(T83:W83))</f>
        <v/>
      </c>
      <c r="AE83">
        <f>IF(X83="","",AVERAGE(X83:AA83))</f>
        <v/>
      </c>
      <c r="A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>
        <f>IF(D84="","",((D84-1)+(5-E84)+(F84-1)+(5-G84)+(H84-1)+(5-I84)+(J84-1)+(5-K84)+(L84-1)+(5-M84))*2.5)</f>
        <v/>
      </c>
      <c r="AC84">
        <f>IF(N84="","",AVERAGE(N84:S84))</f>
        <v/>
      </c>
      <c r="AD84">
        <f>IF(T84="","",AVERAGE(T84:W84))</f>
        <v/>
      </c>
      <c r="AE84">
        <f>IF(X84="","",AVERAGE(X84:AA84))</f>
        <v/>
      </c>
      <c r="A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>
        <f>IF(D85="","",((D85-1)+(5-E85)+(F85-1)+(5-G85)+(H85-1)+(5-I85)+(J85-1)+(5-K85)+(L85-1)+(5-M85))*2.5)</f>
        <v/>
      </c>
      <c r="AC85">
        <f>IF(N85="","",AVERAGE(N85:S85))</f>
        <v/>
      </c>
      <c r="AD85">
        <f>IF(T85="","",AVERAGE(T85:W85))</f>
        <v/>
      </c>
      <c r="AE85">
        <f>IF(X85="","",AVERAGE(X85:AA85))</f>
        <v/>
      </c>
      <c r="A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>
        <f>IF(D86="","",((D86-1)+(5-E86)+(F86-1)+(5-G86)+(H86-1)+(5-I86)+(J86-1)+(5-K86)+(L86-1)+(5-M86))*2.5)</f>
        <v/>
      </c>
      <c r="AC86">
        <f>IF(N86="","",AVERAGE(N86:S86))</f>
        <v/>
      </c>
      <c r="AD86">
        <f>IF(T86="","",AVERAGE(T86:W86))</f>
        <v/>
      </c>
      <c r="AE86">
        <f>IF(X86="","",AVERAGE(X86:AA86))</f>
        <v/>
      </c>
      <c r="A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>
        <f>IF(D87="","",((D87-1)+(5-E87)+(F87-1)+(5-G87)+(H87-1)+(5-I87)+(J87-1)+(5-K87)+(L87-1)+(5-M87))*2.5)</f>
        <v/>
      </c>
      <c r="AC87">
        <f>IF(N87="","",AVERAGE(N87:S87))</f>
        <v/>
      </c>
      <c r="AD87">
        <f>IF(T87="","",AVERAGE(T87:W87))</f>
        <v/>
      </c>
      <c r="AE87">
        <f>IF(X87="","",AVERAGE(X87:AA87))</f>
        <v/>
      </c>
      <c r="A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>
        <f>IF(D88="","",((D88-1)+(5-E88)+(F88-1)+(5-G88)+(H88-1)+(5-I88)+(J88-1)+(5-K88)+(L88-1)+(5-M88))*2.5)</f>
        <v/>
      </c>
      <c r="AC88">
        <f>IF(N88="","",AVERAGE(N88:S88))</f>
        <v/>
      </c>
      <c r="AD88">
        <f>IF(T88="","",AVERAGE(T88:W88))</f>
        <v/>
      </c>
      <c r="AE88">
        <f>IF(X88="","",AVERAGE(X88:AA88))</f>
        <v/>
      </c>
      <c r="A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>
        <f>IF(D89="","",((D89-1)+(5-E89)+(F89-1)+(5-G89)+(H89-1)+(5-I89)+(J89-1)+(5-K89)+(L89-1)+(5-M89))*2.5)</f>
        <v/>
      </c>
      <c r="AC89">
        <f>IF(N89="","",AVERAGE(N89:S89))</f>
        <v/>
      </c>
      <c r="AD89">
        <f>IF(T89="","",AVERAGE(T89:W89))</f>
        <v/>
      </c>
      <c r="AE89">
        <f>IF(X89="","",AVERAGE(X89:AA89))</f>
        <v/>
      </c>
      <c r="A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>
        <f>IF(D90="","",((D90-1)+(5-E90)+(F90-1)+(5-G90)+(H90-1)+(5-I90)+(J90-1)+(5-K90)+(L90-1)+(5-M90))*2.5)</f>
        <v/>
      </c>
      <c r="AC90">
        <f>IF(N90="","",AVERAGE(N90:S90))</f>
        <v/>
      </c>
      <c r="AD90">
        <f>IF(T90="","",AVERAGE(T90:W90))</f>
        <v/>
      </c>
      <c r="AE90">
        <f>IF(X90="","",AVERAGE(X90:AA90))</f>
        <v/>
      </c>
      <c r="A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>
        <f>IF(D91="","",((D91-1)+(5-E91)+(F91-1)+(5-G91)+(H91-1)+(5-I91)+(J91-1)+(5-K91)+(L91-1)+(5-M91))*2.5)</f>
        <v/>
      </c>
      <c r="AC91">
        <f>IF(N91="","",AVERAGE(N91:S91))</f>
        <v/>
      </c>
      <c r="AD91">
        <f>IF(T91="","",AVERAGE(T91:W91))</f>
        <v/>
      </c>
      <c r="AE91">
        <f>IF(X91="","",AVERAGE(X91:AA91))</f>
        <v/>
      </c>
      <c r="A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>
        <f>IF(D92="","",((D92-1)+(5-E92)+(F92-1)+(5-G92)+(H92-1)+(5-I92)+(J92-1)+(5-K92)+(L92-1)+(5-M92))*2.5)</f>
        <v/>
      </c>
      <c r="AC92">
        <f>IF(N92="","",AVERAGE(N92:S92))</f>
        <v/>
      </c>
      <c r="AD92">
        <f>IF(T92="","",AVERAGE(T92:W92))</f>
        <v/>
      </c>
      <c r="AE92">
        <f>IF(X92="","",AVERAGE(X92:AA92))</f>
        <v/>
      </c>
      <c r="A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>
        <f>IF(D93="","",((D93-1)+(5-E93)+(F93-1)+(5-G93)+(H93-1)+(5-I93)+(J93-1)+(5-K93)+(L93-1)+(5-M93))*2.5)</f>
        <v/>
      </c>
      <c r="AC93">
        <f>IF(N93="","",AVERAGE(N93:S93))</f>
        <v/>
      </c>
      <c r="AD93">
        <f>IF(T93="","",AVERAGE(T93:W93))</f>
        <v/>
      </c>
      <c r="AE93">
        <f>IF(X93="","",AVERAGE(X93:AA93))</f>
        <v/>
      </c>
      <c r="A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>
        <f>IF(D94="","",((D94-1)+(5-E94)+(F94-1)+(5-G94)+(H94-1)+(5-I94)+(J94-1)+(5-K94)+(L94-1)+(5-M94))*2.5)</f>
        <v/>
      </c>
      <c r="AC94">
        <f>IF(N94="","",AVERAGE(N94:S94))</f>
        <v/>
      </c>
      <c r="AD94">
        <f>IF(T94="","",AVERAGE(T94:W94))</f>
        <v/>
      </c>
      <c r="AE94">
        <f>IF(X94="","",AVERAGE(X94:AA94))</f>
        <v/>
      </c>
      <c r="A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>
        <f>IF(D95="","",((D95-1)+(5-E95)+(F95-1)+(5-G95)+(H95-1)+(5-I95)+(J95-1)+(5-K95)+(L95-1)+(5-M95))*2.5)</f>
        <v/>
      </c>
      <c r="AC95">
        <f>IF(N95="","",AVERAGE(N95:S95))</f>
        <v/>
      </c>
      <c r="AD95">
        <f>IF(T95="","",AVERAGE(T95:W95))</f>
        <v/>
      </c>
      <c r="AE95">
        <f>IF(X95="","",AVERAGE(X95:AA95))</f>
        <v/>
      </c>
      <c r="A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>
        <f>IF(D96="","",((D96-1)+(5-E96)+(F96-1)+(5-G96)+(H96-1)+(5-I96)+(J96-1)+(5-K96)+(L96-1)+(5-M96))*2.5)</f>
        <v/>
      </c>
      <c r="AC96">
        <f>IF(N96="","",AVERAGE(N96:S96))</f>
        <v/>
      </c>
      <c r="AD96">
        <f>IF(T96="","",AVERAGE(T96:W96))</f>
        <v/>
      </c>
      <c r="AE96">
        <f>IF(X96="","",AVERAGE(X96:AA96))</f>
        <v/>
      </c>
      <c r="A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>
        <f>IF(D97="","",((D97-1)+(5-E97)+(F97-1)+(5-G97)+(H97-1)+(5-I97)+(J97-1)+(5-K97)+(L97-1)+(5-M97))*2.5)</f>
        <v/>
      </c>
      <c r="AC97">
        <f>IF(N97="","",AVERAGE(N97:S97))</f>
        <v/>
      </c>
      <c r="AD97">
        <f>IF(T97="","",AVERAGE(T97:W97))</f>
        <v/>
      </c>
      <c r="AE97">
        <f>IF(X97="","",AVERAGE(X97:AA97))</f>
        <v/>
      </c>
      <c r="A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>
        <f>IF(D98="","",((D98-1)+(5-E98)+(F98-1)+(5-G98)+(H98-1)+(5-I98)+(J98-1)+(5-K98)+(L98-1)+(5-M98))*2.5)</f>
        <v/>
      </c>
      <c r="AC98">
        <f>IF(N98="","",AVERAGE(N98:S98))</f>
        <v/>
      </c>
      <c r="AD98">
        <f>IF(T98="","",AVERAGE(T98:W98))</f>
        <v/>
      </c>
      <c r="AE98">
        <f>IF(X98="","",AVERAGE(X98:AA98))</f>
        <v/>
      </c>
      <c r="A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>
        <f>IF(D99="","",((D99-1)+(5-E99)+(F99-1)+(5-G99)+(H99-1)+(5-I99)+(J99-1)+(5-K99)+(L99-1)+(5-M99))*2.5)</f>
        <v/>
      </c>
      <c r="AC99">
        <f>IF(N99="","",AVERAGE(N99:S99))</f>
        <v/>
      </c>
      <c r="AD99">
        <f>IF(T99="","",AVERAGE(T99:W99))</f>
        <v/>
      </c>
      <c r="AE99">
        <f>IF(X99="","",AVERAGE(X99:AA99))</f>
        <v/>
      </c>
      <c r="A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>
        <f>IF(D100="","",((D100-1)+(5-E100)+(F100-1)+(5-G100)+(H100-1)+(5-I100)+(J100-1)+(5-K100)+(L100-1)+(5-M100))*2.5)</f>
        <v/>
      </c>
      <c r="AC100">
        <f>IF(N100="","",AVERAGE(N100:S100))</f>
        <v/>
      </c>
      <c r="AD100">
        <f>IF(T100="","",AVERAGE(T100:W100))</f>
        <v/>
      </c>
      <c r="AE100">
        <f>IF(X100="","",AVERAGE(X100:AA100))</f>
        <v/>
      </c>
      <c r="A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>
        <f>IF(D101="","",((D101-1)+(5-E101)+(F101-1)+(5-G101)+(H101-1)+(5-I101)+(J101-1)+(5-K101)+(L101-1)+(5-M101))*2.5)</f>
        <v/>
      </c>
      <c r="AC101">
        <f>IF(N101="","",AVERAGE(N101:S101))</f>
        <v/>
      </c>
      <c r="AD101">
        <f>IF(T101="","",AVERAGE(T101:W101))</f>
        <v/>
      </c>
      <c r="AE101">
        <f>IF(X101="","",AVERAGE(X101:AA101))</f>
        <v/>
      </c>
      <c r="AF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code</t>
        </is>
      </c>
      <c r="B1" t="inlineStr">
        <is>
          <t>Baseline decision mean</t>
        </is>
      </c>
      <c r="C1" t="inlineStr">
        <is>
          <t>TraceGuide decision mean</t>
        </is>
      </c>
      <c r="D1" t="inlineStr">
        <is>
          <t>Decision difference</t>
        </is>
      </c>
      <c r="E1" t="inlineStr">
        <is>
          <t>Baseline correct count</t>
        </is>
      </c>
      <c r="F1" t="inlineStr">
        <is>
          <t>TraceGuide correct count</t>
        </is>
      </c>
      <c r="G1" t="inlineStr">
        <is>
          <t>Baseline ASQ mean</t>
        </is>
      </c>
      <c r="H1" t="inlineStr">
        <is>
          <t>TraceGuide ASQ mean</t>
        </is>
      </c>
      <c r="I1" t="inlineStr">
        <is>
          <t>Baseline SUS</t>
        </is>
      </c>
      <c r="J1" t="inlineStr">
        <is>
          <t>TraceGuide SUS</t>
        </is>
      </c>
      <c r="K1" t="inlineStr">
        <is>
          <t>Baseline NASA</t>
        </is>
      </c>
      <c r="L1" t="inlineStr">
        <is>
          <t>TraceGuide NASA</t>
        </is>
      </c>
      <c r="M1" t="inlineStr">
        <is>
          <t>Baseline evidence mean</t>
        </is>
      </c>
      <c r="N1" t="inlineStr">
        <is>
          <t>TraceGuide evidence mean</t>
        </is>
      </c>
      <c r="O1" t="inlineStr">
        <is>
          <t>Baseline control mean</t>
        </is>
      </c>
      <c r="P1" t="inlineStr">
        <is>
          <t>TraceGuide control mean</t>
        </is>
      </c>
    </row>
    <row r="2">
      <c r="A2">
        <f>IFERROR(INDEX(SORT(UNIQUE(FILTER('Raw Task Responses'!$B$2:$B$201,'Raw Task Responses'!$B$2:$B$201&lt;&gt;""))),ROW()-1),"")</f>
        <v/>
      </c>
      <c r="B2">
        <f>IF($A2="","",AVERAGEIFS('Raw Task Responses'!$P:$P,'Raw Task Responses'!$B:$B,$A2,'Raw Task Responses'!$D:$D,"Baseline"))</f>
        <v/>
      </c>
      <c r="C2">
        <f>IF($A2="","",AVERAGEIFS('Raw Task Responses'!$P:$P,'Raw Task Responses'!$B:$B,$A2,'Raw Task Responses'!$D:$D,"TraceGuide"))</f>
        <v/>
      </c>
      <c r="D2">
        <f>IF($A2="","",C2-B2)</f>
        <v/>
      </c>
      <c r="E2">
        <f>IF($A2="","",COUNTIFS('Raw Task Responses'!$B:$B,$A2,'Raw Task Responses'!$D:$D,"Baseline",'Raw Task Responses'!$P:$P,2))</f>
        <v/>
      </c>
      <c r="F2">
        <f>IF($A2="","",COUNTIFS('Raw Task Responses'!$B:$B,$A2,'Raw Task Responses'!$D:$D,"TraceGuide",'Raw Task Responses'!$P:$P,2))</f>
        <v/>
      </c>
      <c r="G2">
        <f>IF($A2="","",AVERAGEIFS('Raw Task Responses'!$R:$R,'Raw Task Responses'!$B:$B,$A2,'Raw Task Responses'!$D:$D,"Baseline"))</f>
        <v/>
      </c>
      <c r="H2">
        <f>IF($A2="","",AVERAGEIFS('Raw Task Responses'!$R:$R,'Raw Task Responses'!$B:$B,$A2,'Raw Task Responses'!$D:$D,"TraceGuide"))</f>
        <v/>
      </c>
      <c r="I2">
        <f>IF($A2="","",AVERAGEIFS('Post-test Raw'!$AB:$AB,'Post-test Raw'!$B:$B,$A2,'Post-test Raw'!$C:$C,"Baseline"))</f>
        <v/>
      </c>
      <c r="J2">
        <f>IF($A2="","",AVERAGEIFS('Post-test Raw'!$AB:$AB,'Post-test Raw'!$B:$B,$A2,'Post-test Raw'!$C:$C,"TraceGuide"))</f>
        <v/>
      </c>
      <c r="K2">
        <f>IF($A2="","",AVERAGEIFS('Post-test Raw'!$AC:$AC,'Post-test Raw'!$B:$B,$A2,'Post-test Raw'!$C:$C,"Baseline"))</f>
        <v/>
      </c>
      <c r="L2">
        <f>IF($A2="","",AVERAGEIFS('Post-test Raw'!$AC:$AC,'Post-test Raw'!$B:$B,$A2,'Post-test Raw'!$C:$C,"TraceGuide"))</f>
        <v/>
      </c>
      <c r="M2">
        <f>IF($A2="","",AVERAGEIFS('Post-test Raw'!$AD:$AD,'Post-test Raw'!$B:$B,$A2,'Post-test Raw'!$C:$C,"Baseline"))</f>
        <v/>
      </c>
      <c r="N2">
        <f>IF($A2="","",AVERAGEIFS('Post-test Raw'!$AD:$AD,'Post-test Raw'!$B:$B,$A2,'Post-test Raw'!$C:$C,"TraceGuide"))</f>
        <v/>
      </c>
      <c r="O2">
        <f>IF($A2="","",AVERAGEIFS('Post-test Raw'!$AE:$AE,'Post-test Raw'!$B:$B,$A2,'Post-test Raw'!$C:$C,"Baseline"))</f>
        <v/>
      </c>
      <c r="P2">
        <f>IF($A2="","",AVERAGEIFS('Post-test Raw'!$AE:$AE,'Post-test Raw'!$B:$B,$A2,'Post-test Raw'!$C:$C,"TraceGuide"))</f>
        <v/>
      </c>
    </row>
    <row r="3">
      <c r="A3">
        <f>IFERROR(INDEX(SORT(UNIQUE(FILTER('Raw Task Responses'!$B$2:$B$201,'Raw Task Responses'!$B$2:$B$201&lt;&gt;""))),ROW()-1),"")</f>
        <v/>
      </c>
      <c r="B3">
        <f>IF($A3="","",AVERAGEIFS('Raw Task Responses'!$P:$P,'Raw Task Responses'!$B:$B,$A3,'Raw Task Responses'!$D:$D,"Baseline"))</f>
        <v/>
      </c>
      <c r="C3">
        <f>IF($A3="","",AVERAGEIFS('Raw Task Responses'!$P:$P,'Raw Task Responses'!$B:$B,$A3,'Raw Task Responses'!$D:$D,"TraceGuide"))</f>
        <v/>
      </c>
      <c r="D3">
        <f>IF($A3="","",C3-B3)</f>
        <v/>
      </c>
      <c r="E3">
        <f>IF($A3="","",COUNTIFS('Raw Task Responses'!$B:$B,$A3,'Raw Task Responses'!$D:$D,"Baseline",'Raw Task Responses'!$P:$P,2))</f>
        <v/>
      </c>
      <c r="F3">
        <f>IF($A3="","",COUNTIFS('Raw Task Responses'!$B:$B,$A3,'Raw Task Responses'!$D:$D,"TraceGuide",'Raw Task Responses'!$P:$P,2))</f>
        <v/>
      </c>
      <c r="G3">
        <f>IF($A3="","",AVERAGEIFS('Raw Task Responses'!$R:$R,'Raw Task Responses'!$B:$B,$A3,'Raw Task Responses'!$D:$D,"Baseline"))</f>
        <v/>
      </c>
      <c r="H3">
        <f>IF($A3="","",AVERAGEIFS('Raw Task Responses'!$R:$R,'Raw Task Responses'!$B:$B,$A3,'Raw Task Responses'!$D:$D,"TraceGuide"))</f>
        <v/>
      </c>
      <c r="I3">
        <f>IF($A3="","",AVERAGEIFS('Post-test Raw'!$AB:$AB,'Post-test Raw'!$B:$B,$A3,'Post-test Raw'!$C:$C,"Baseline"))</f>
        <v/>
      </c>
      <c r="J3">
        <f>IF($A3="","",AVERAGEIFS('Post-test Raw'!$AB:$AB,'Post-test Raw'!$B:$B,$A3,'Post-test Raw'!$C:$C,"TraceGuide"))</f>
        <v/>
      </c>
      <c r="K3">
        <f>IF($A3="","",AVERAGEIFS('Post-test Raw'!$AC:$AC,'Post-test Raw'!$B:$B,$A3,'Post-test Raw'!$C:$C,"Baseline"))</f>
        <v/>
      </c>
      <c r="L3">
        <f>IF($A3="","",AVERAGEIFS('Post-test Raw'!$AC:$AC,'Post-test Raw'!$B:$B,$A3,'Post-test Raw'!$C:$C,"TraceGuide"))</f>
        <v/>
      </c>
      <c r="M3">
        <f>IF($A3="","",AVERAGEIFS('Post-test Raw'!$AD:$AD,'Post-test Raw'!$B:$B,$A3,'Post-test Raw'!$C:$C,"Baseline"))</f>
        <v/>
      </c>
      <c r="N3">
        <f>IF($A3="","",AVERAGEIFS('Post-test Raw'!$AD:$AD,'Post-test Raw'!$B:$B,$A3,'Post-test Raw'!$C:$C,"TraceGuide"))</f>
        <v/>
      </c>
      <c r="O3">
        <f>IF($A3="","",AVERAGEIFS('Post-test Raw'!$AE:$AE,'Post-test Raw'!$B:$B,$A3,'Post-test Raw'!$C:$C,"Baseline"))</f>
        <v/>
      </c>
      <c r="P3">
        <f>IF($A3="","",AVERAGEIFS('Post-test Raw'!$AE:$AE,'Post-test Raw'!$B:$B,$A3,'Post-test Raw'!$C:$C,"TraceGuide"))</f>
        <v/>
      </c>
    </row>
    <row r="4">
      <c r="A4">
        <f>IFERROR(INDEX(SORT(UNIQUE(FILTER('Raw Task Responses'!$B$2:$B$201,'Raw Task Responses'!$B$2:$B$201&lt;&gt;""))),ROW()-1),"")</f>
        <v/>
      </c>
      <c r="B4">
        <f>IF($A4="","",AVERAGEIFS('Raw Task Responses'!$P:$P,'Raw Task Responses'!$B:$B,$A4,'Raw Task Responses'!$D:$D,"Baseline"))</f>
        <v/>
      </c>
      <c r="C4">
        <f>IF($A4="","",AVERAGEIFS('Raw Task Responses'!$P:$P,'Raw Task Responses'!$B:$B,$A4,'Raw Task Responses'!$D:$D,"TraceGuide"))</f>
        <v/>
      </c>
      <c r="D4">
        <f>IF($A4="","",C4-B4)</f>
        <v/>
      </c>
      <c r="E4">
        <f>IF($A4="","",COUNTIFS('Raw Task Responses'!$B:$B,$A4,'Raw Task Responses'!$D:$D,"Baseline",'Raw Task Responses'!$P:$P,2))</f>
        <v/>
      </c>
      <c r="F4">
        <f>IF($A4="","",COUNTIFS('Raw Task Responses'!$B:$B,$A4,'Raw Task Responses'!$D:$D,"TraceGuide",'Raw Task Responses'!$P:$P,2))</f>
        <v/>
      </c>
      <c r="G4">
        <f>IF($A4="","",AVERAGEIFS('Raw Task Responses'!$R:$R,'Raw Task Responses'!$B:$B,$A4,'Raw Task Responses'!$D:$D,"Baseline"))</f>
        <v/>
      </c>
      <c r="H4">
        <f>IF($A4="","",AVERAGEIFS('Raw Task Responses'!$R:$R,'Raw Task Responses'!$B:$B,$A4,'Raw Task Responses'!$D:$D,"TraceGuide"))</f>
        <v/>
      </c>
      <c r="I4">
        <f>IF($A4="","",AVERAGEIFS('Post-test Raw'!$AB:$AB,'Post-test Raw'!$B:$B,$A4,'Post-test Raw'!$C:$C,"Baseline"))</f>
        <v/>
      </c>
      <c r="J4">
        <f>IF($A4="","",AVERAGEIFS('Post-test Raw'!$AB:$AB,'Post-test Raw'!$B:$B,$A4,'Post-test Raw'!$C:$C,"TraceGuide"))</f>
        <v/>
      </c>
      <c r="K4">
        <f>IF($A4="","",AVERAGEIFS('Post-test Raw'!$AC:$AC,'Post-test Raw'!$B:$B,$A4,'Post-test Raw'!$C:$C,"Baseline"))</f>
        <v/>
      </c>
      <c r="L4">
        <f>IF($A4="","",AVERAGEIFS('Post-test Raw'!$AC:$AC,'Post-test Raw'!$B:$B,$A4,'Post-test Raw'!$C:$C,"TraceGuide"))</f>
        <v/>
      </c>
      <c r="M4">
        <f>IF($A4="","",AVERAGEIFS('Post-test Raw'!$AD:$AD,'Post-test Raw'!$B:$B,$A4,'Post-test Raw'!$C:$C,"Baseline"))</f>
        <v/>
      </c>
      <c r="N4">
        <f>IF($A4="","",AVERAGEIFS('Post-test Raw'!$AD:$AD,'Post-test Raw'!$B:$B,$A4,'Post-test Raw'!$C:$C,"TraceGuide"))</f>
        <v/>
      </c>
      <c r="O4">
        <f>IF($A4="","",AVERAGEIFS('Post-test Raw'!$AE:$AE,'Post-test Raw'!$B:$B,$A4,'Post-test Raw'!$C:$C,"Baseline"))</f>
        <v/>
      </c>
      <c r="P4">
        <f>IF($A4="","",AVERAGEIFS('Post-test Raw'!$AE:$AE,'Post-test Raw'!$B:$B,$A4,'Post-test Raw'!$C:$C,"TraceGuide"))</f>
        <v/>
      </c>
    </row>
    <row r="5">
      <c r="A5">
        <f>IFERROR(INDEX(SORT(UNIQUE(FILTER('Raw Task Responses'!$B$2:$B$201,'Raw Task Responses'!$B$2:$B$201&lt;&gt;""))),ROW()-1),"")</f>
        <v/>
      </c>
      <c r="B5">
        <f>IF($A5="","",AVERAGEIFS('Raw Task Responses'!$P:$P,'Raw Task Responses'!$B:$B,$A5,'Raw Task Responses'!$D:$D,"Baseline"))</f>
        <v/>
      </c>
      <c r="C5">
        <f>IF($A5="","",AVERAGEIFS('Raw Task Responses'!$P:$P,'Raw Task Responses'!$B:$B,$A5,'Raw Task Responses'!$D:$D,"TraceGuide"))</f>
        <v/>
      </c>
      <c r="D5">
        <f>IF($A5="","",C5-B5)</f>
        <v/>
      </c>
      <c r="E5">
        <f>IF($A5="","",COUNTIFS('Raw Task Responses'!$B:$B,$A5,'Raw Task Responses'!$D:$D,"Baseline",'Raw Task Responses'!$P:$P,2))</f>
        <v/>
      </c>
      <c r="F5">
        <f>IF($A5="","",COUNTIFS('Raw Task Responses'!$B:$B,$A5,'Raw Task Responses'!$D:$D,"TraceGuide",'Raw Task Responses'!$P:$P,2))</f>
        <v/>
      </c>
      <c r="G5">
        <f>IF($A5="","",AVERAGEIFS('Raw Task Responses'!$R:$R,'Raw Task Responses'!$B:$B,$A5,'Raw Task Responses'!$D:$D,"Baseline"))</f>
        <v/>
      </c>
      <c r="H5">
        <f>IF($A5="","",AVERAGEIFS('Raw Task Responses'!$R:$R,'Raw Task Responses'!$B:$B,$A5,'Raw Task Responses'!$D:$D,"TraceGuide"))</f>
        <v/>
      </c>
      <c r="I5">
        <f>IF($A5="","",AVERAGEIFS('Post-test Raw'!$AB:$AB,'Post-test Raw'!$B:$B,$A5,'Post-test Raw'!$C:$C,"Baseline"))</f>
        <v/>
      </c>
      <c r="J5">
        <f>IF($A5="","",AVERAGEIFS('Post-test Raw'!$AB:$AB,'Post-test Raw'!$B:$B,$A5,'Post-test Raw'!$C:$C,"TraceGuide"))</f>
        <v/>
      </c>
      <c r="K5">
        <f>IF($A5="","",AVERAGEIFS('Post-test Raw'!$AC:$AC,'Post-test Raw'!$B:$B,$A5,'Post-test Raw'!$C:$C,"Baseline"))</f>
        <v/>
      </c>
      <c r="L5">
        <f>IF($A5="","",AVERAGEIFS('Post-test Raw'!$AC:$AC,'Post-test Raw'!$B:$B,$A5,'Post-test Raw'!$C:$C,"TraceGuide"))</f>
        <v/>
      </c>
      <c r="M5">
        <f>IF($A5="","",AVERAGEIFS('Post-test Raw'!$AD:$AD,'Post-test Raw'!$B:$B,$A5,'Post-test Raw'!$C:$C,"Baseline"))</f>
        <v/>
      </c>
      <c r="N5">
        <f>IF($A5="","",AVERAGEIFS('Post-test Raw'!$AD:$AD,'Post-test Raw'!$B:$B,$A5,'Post-test Raw'!$C:$C,"TraceGuide"))</f>
        <v/>
      </c>
      <c r="O5">
        <f>IF($A5="","",AVERAGEIFS('Post-test Raw'!$AE:$AE,'Post-test Raw'!$B:$B,$A5,'Post-test Raw'!$C:$C,"Baseline"))</f>
        <v/>
      </c>
      <c r="P5">
        <f>IF($A5="","",AVERAGEIFS('Post-test Raw'!$AE:$AE,'Post-test Raw'!$B:$B,$A5,'Post-test Raw'!$C:$C,"TraceGuide"))</f>
        <v/>
      </c>
    </row>
    <row r="6">
      <c r="A6">
        <f>IFERROR(INDEX(SORT(UNIQUE(FILTER('Raw Task Responses'!$B$2:$B$201,'Raw Task Responses'!$B$2:$B$201&lt;&gt;""))),ROW()-1),"")</f>
        <v/>
      </c>
      <c r="B6">
        <f>IF($A6="","",AVERAGEIFS('Raw Task Responses'!$P:$P,'Raw Task Responses'!$B:$B,$A6,'Raw Task Responses'!$D:$D,"Baseline"))</f>
        <v/>
      </c>
      <c r="C6">
        <f>IF($A6="","",AVERAGEIFS('Raw Task Responses'!$P:$P,'Raw Task Responses'!$B:$B,$A6,'Raw Task Responses'!$D:$D,"TraceGuide"))</f>
        <v/>
      </c>
      <c r="D6">
        <f>IF($A6="","",C6-B6)</f>
        <v/>
      </c>
      <c r="E6">
        <f>IF($A6="","",COUNTIFS('Raw Task Responses'!$B:$B,$A6,'Raw Task Responses'!$D:$D,"Baseline",'Raw Task Responses'!$P:$P,2))</f>
        <v/>
      </c>
      <c r="F6">
        <f>IF($A6="","",COUNTIFS('Raw Task Responses'!$B:$B,$A6,'Raw Task Responses'!$D:$D,"TraceGuide",'Raw Task Responses'!$P:$P,2))</f>
        <v/>
      </c>
      <c r="G6">
        <f>IF($A6="","",AVERAGEIFS('Raw Task Responses'!$R:$R,'Raw Task Responses'!$B:$B,$A6,'Raw Task Responses'!$D:$D,"Baseline"))</f>
        <v/>
      </c>
      <c r="H6">
        <f>IF($A6="","",AVERAGEIFS('Raw Task Responses'!$R:$R,'Raw Task Responses'!$B:$B,$A6,'Raw Task Responses'!$D:$D,"TraceGuide"))</f>
        <v/>
      </c>
      <c r="I6">
        <f>IF($A6="","",AVERAGEIFS('Post-test Raw'!$AB:$AB,'Post-test Raw'!$B:$B,$A6,'Post-test Raw'!$C:$C,"Baseline"))</f>
        <v/>
      </c>
      <c r="J6">
        <f>IF($A6="","",AVERAGEIFS('Post-test Raw'!$AB:$AB,'Post-test Raw'!$B:$B,$A6,'Post-test Raw'!$C:$C,"TraceGuide"))</f>
        <v/>
      </c>
      <c r="K6">
        <f>IF($A6="","",AVERAGEIFS('Post-test Raw'!$AC:$AC,'Post-test Raw'!$B:$B,$A6,'Post-test Raw'!$C:$C,"Baseline"))</f>
        <v/>
      </c>
      <c r="L6">
        <f>IF($A6="","",AVERAGEIFS('Post-test Raw'!$AC:$AC,'Post-test Raw'!$B:$B,$A6,'Post-test Raw'!$C:$C,"TraceGuide"))</f>
        <v/>
      </c>
      <c r="M6">
        <f>IF($A6="","",AVERAGEIFS('Post-test Raw'!$AD:$AD,'Post-test Raw'!$B:$B,$A6,'Post-test Raw'!$C:$C,"Baseline"))</f>
        <v/>
      </c>
      <c r="N6">
        <f>IF($A6="","",AVERAGEIFS('Post-test Raw'!$AD:$AD,'Post-test Raw'!$B:$B,$A6,'Post-test Raw'!$C:$C,"TraceGuide"))</f>
        <v/>
      </c>
      <c r="O6">
        <f>IF($A6="","",AVERAGEIFS('Post-test Raw'!$AE:$AE,'Post-test Raw'!$B:$B,$A6,'Post-test Raw'!$C:$C,"Baseline"))</f>
        <v/>
      </c>
      <c r="P6">
        <f>IF($A6="","",AVERAGEIFS('Post-test Raw'!$AE:$AE,'Post-test Raw'!$B:$B,$A6,'Post-test Raw'!$C:$C,"TraceGuide"))</f>
        <v/>
      </c>
    </row>
    <row r="7">
      <c r="A7">
        <f>IFERROR(INDEX(SORT(UNIQUE(FILTER('Raw Task Responses'!$B$2:$B$201,'Raw Task Responses'!$B$2:$B$201&lt;&gt;""))),ROW()-1),"")</f>
        <v/>
      </c>
      <c r="B7">
        <f>IF($A7="","",AVERAGEIFS('Raw Task Responses'!$P:$P,'Raw Task Responses'!$B:$B,$A7,'Raw Task Responses'!$D:$D,"Baseline"))</f>
        <v/>
      </c>
      <c r="C7">
        <f>IF($A7="","",AVERAGEIFS('Raw Task Responses'!$P:$P,'Raw Task Responses'!$B:$B,$A7,'Raw Task Responses'!$D:$D,"TraceGuide"))</f>
        <v/>
      </c>
      <c r="D7">
        <f>IF($A7="","",C7-B7)</f>
        <v/>
      </c>
      <c r="E7">
        <f>IF($A7="","",COUNTIFS('Raw Task Responses'!$B:$B,$A7,'Raw Task Responses'!$D:$D,"Baseline",'Raw Task Responses'!$P:$P,2))</f>
        <v/>
      </c>
      <c r="F7">
        <f>IF($A7="","",COUNTIFS('Raw Task Responses'!$B:$B,$A7,'Raw Task Responses'!$D:$D,"TraceGuide",'Raw Task Responses'!$P:$P,2))</f>
        <v/>
      </c>
      <c r="G7">
        <f>IF($A7="","",AVERAGEIFS('Raw Task Responses'!$R:$R,'Raw Task Responses'!$B:$B,$A7,'Raw Task Responses'!$D:$D,"Baseline"))</f>
        <v/>
      </c>
      <c r="H7">
        <f>IF($A7="","",AVERAGEIFS('Raw Task Responses'!$R:$R,'Raw Task Responses'!$B:$B,$A7,'Raw Task Responses'!$D:$D,"TraceGuide"))</f>
        <v/>
      </c>
      <c r="I7">
        <f>IF($A7="","",AVERAGEIFS('Post-test Raw'!$AB:$AB,'Post-test Raw'!$B:$B,$A7,'Post-test Raw'!$C:$C,"Baseline"))</f>
        <v/>
      </c>
      <c r="J7">
        <f>IF($A7="","",AVERAGEIFS('Post-test Raw'!$AB:$AB,'Post-test Raw'!$B:$B,$A7,'Post-test Raw'!$C:$C,"TraceGuide"))</f>
        <v/>
      </c>
      <c r="K7">
        <f>IF($A7="","",AVERAGEIFS('Post-test Raw'!$AC:$AC,'Post-test Raw'!$B:$B,$A7,'Post-test Raw'!$C:$C,"Baseline"))</f>
        <v/>
      </c>
      <c r="L7">
        <f>IF($A7="","",AVERAGEIFS('Post-test Raw'!$AC:$AC,'Post-test Raw'!$B:$B,$A7,'Post-test Raw'!$C:$C,"TraceGuide"))</f>
        <v/>
      </c>
      <c r="M7">
        <f>IF($A7="","",AVERAGEIFS('Post-test Raw'!$AD:$AD,'Post-test Raw'!$B:$B,$A7,'Post-test Raw'!$C:$C,"Baseline"))</f>
        <v/>
      </c>
      <c r="N7">
        <f>IF($A7="","",AVERAGEIFS('Post-test Raw'!$AD:$AD,'Post-test Raw'!$B:$B,$A7,'Post-test Raw'!$C:$C,"TraceGuide"))</f>
        <v/>
      </c>
      <c r="O7">
        <f>IF($A7="","",AVERAGEIFS('Post-test Raw'!$AE:$AE,'Post-test Raw'!$B:$B,$A7,'Post-test Raw'!$C:$C,"Baseline"))</f>
        <v/>
      </c>
      <c r="P7">
        <f>IF($A7="","",AVERAGEIFS('Post-test Raw'!$AE:$AE,'Post-test Raw'!$B:$B,$A7,'Post-test Raw'!$C:$C,"TraceGuide"))</f>
        <v/>
      </c>
    </row>
    <row r="8">
      <c r="A8">
        <f>IFERROR(INDEX(SORT(UNIQUE(FILTER('Raw Task Responses'!$B$2:$B$201,'Raw Task Responses'!$B$2:$B$201&lt;&gt;""))),ROW()-1),"")</f>
        <v/>
      </c>
      <c r="B8">
        <f>IF($A8="","",AVERAGEIFS('Raw Task Responses'!$P:$P,'Raw Task Responses'!$B:$B,$A8,'Raw Task Responses'!$D:$D,"Baseline"))</f>
        <v/>
      </c>
      <c r="C8">
        <f>IF($A8="","",AVERAGEIFS('Raw Task Responses'!$P:$P,'Raw Task Responses'!$B:$B,$A8,'Raw Task Responses'!$D:$D,"TraceGuide"))</f>
        <v/>
      </c>
      <c r="D8">
        <f>IF($A8="","",C8-B8)</f>
        <v/>
      </c>
      <c r="E8">
        <f>IF($A8="","",COUNTIFS('Raw Task Responses'!$B:$B,$A8,'Raw Task Responses'!$D:$D,"Baseline",'Raw Task Responses'!$P:$P,2))</f>
        <v/>
      </c>
      <c r="F8">
        <f>IF($A8="","",COUNTIFS('Raw Task Responses'!$B:$B,$A8,'Raw Task Responses'!$D:$D,"TraceGuide",'Raw Task Responses'!$P:$P,2))</f>
        <v/>
      </c>
      <c r="G8">
        <f>IF($A8="","",AVERAGEIFS('Raw Task Responses'!$R:$R,'Raw Task Responses'!$B:$B,$A8,'Raw Task Responses'!$D:$D,"Baseline"))</f>
        <v/>
      </c>
      <c r="H8">
        <f>IF($A8="","",AVERAGEIFS('Raw Task Responses'!$R:$R,'Raw Task Responses'!$B:$B,$A8,'Raw Task Responses'!$D:$D,"TraceGuide"))</f>
        <v/>
      </c>
      <c r="I8">
        <f>IF($A8="","",AVERAGEIFS('Post-test Raw'!$AB:$AB,'Post-test Raw'!$B:$B,$A8,'Post-test Raw'!$C:$C,"Baseline"))</f>
        <v/>
      </c>
      <c r="J8">
        <f>IF($A8="","",AVERAGEIFS('Post-test Raw'!$AB:$AB,'Post-test Raw'!$B:$B,$A8,'Post-test Raw'!$C:$C,"TraceGuide"))</f>
        <v/>
      </c>
      <c r="K8">
        <f>IF($A8="","",AVERAGEIFS('Post-test Raw'!$AC:$AC,'Post-test Raw'!$B:$B,$A8,'Post-test Raw'!$C:$C,"Baseline"))</f>
        <v/>
      </c>
      <c r="L8">
        <f>IF($A8="","",AVERAGEIFS('Post-test Raw'!$AC:$AC,'Post-test Raw'!$B:$B,$A8,'Post-test Raw'!$C:$C,"TraceGuide"))</f>
        <v/>
      </c>
      <c r="M8">
        <f>IF($A8="","",AVERAGEIFS('Post-test Raw'!$AD:$AD,'Post-test Raw'!$B:$B,$A8,'Post-test Raw'!$C:$C,"Baseline"))</f>
        <v/>
      </c>
      <c r="N8">
        <f>IF($A8="","",AVERAGEIFS('Post-test Raw'!$AD:$AD,'Post-test Raw'!$B:$B,$A8,'Post-test Raw'!$C:$C,"TraceGuide"))</f>
        <v/>
      </c>
      <c r="O8">
        <f>IF($A8="","",AVERAGEIFS('Post-test Raw'!$AE:$AE,'Post-test Raw'!$B:$B,$A8,'Post-test Raw'!$C:$C,"Baseline"))</f>
        <v/>
      </c>
      <c r="P8">
        <f>IF($A8="","",AVERAGEIFS('Post-test Raw'!$AE:$AE,'Post-test Raw'!$B:$B,$A8,'Post-test Raw'!$C:$C,"TraceGuide"))</f>
        <v/>
      </c>
    </row>
    <row r="9">
      <c r="A9">
        <f>IFERROR(INDEX(SORT(UNIQUE(FILTER('Raw Task Responses'!$B$2:$B$201,'Raw Task Responses'!$B$2:$B$201&lt;&gt;""))),ROW()-1),"")</f>
        <v/>
      </c>
      <c r="B9">
        <f>IF($A9="","",AVERAGEIFS('Raw Task Responses'!$P:$P,'Raw Task Responses'!$B:$B,$A9,'Raw Task Responses'!$D:$D,"Baseline"))</f>
        <v/>
      </c>
      <c r="C9">
        <f>IF($A9="","",AVERAGEIFS('Raw Task Responses'!$P:$P,'Raw Task Responses'!$B:$B,$A9,'Raw Task Responses'!$D:$D,"TraceGuide"))</f>
        <v/>
      </c>
      <c r="D9">
        <f>IF($A9="","",C9-B9)</f>
        <v/>
      </c>
      <c r="E9">
        <f>IF($A9="","",COUNTIFS('Raw Task Responses'!$B:$B,$A9,'Raw Task Responses'!$D:$D,"Baseline",'Raw Task Responses'!$P:$P,2))</f>
        <v/>
      </c>
      <c r="F9">
        <f>IF($A9="","",COUNTIFS('Raw Task Responses'!$B:$B,$A9,'Raw Task Responses'!$D:$D,"TraceGuide",'Raw Task Responses'!$P:$P,2))</f>
        <v/>
      </c>
      <c r="G9">
        <f>IF($A9="","",AVERAGEIFS('Raw Task Responses'!$R:$R,'Raw Task Responses'!$B:$B,$A9,'Raw Task Responses'!$D:$D,"Baseline"))</f>
        <v/>
      </c>
      <c r="H9">
        <f>IF($A9="","",AVERAGEIFS('Raw Task Responses'!$R:$R,'Raw Task Responses'!$B:$B,$A9,'Raw Task Responses'!$D:$D,"TraceGuide"))</f>
        <v/>
      </c>
      <c r="I9">
        <f>IF($A9="","",AVERAGEIFS('Post-test Raw'!$AB:$AB,'Post-test Raw'!$B:$B,$A9,'Post-test Raw'!$C:$C,"Baseline"))</f>
        <v/>
      </c>
      <c r="J9">
        <f>IF($A9="","",AVERAGEIFS('Post-test Raw'!$AB:$AB,'Post-test Raw'!$B:$B,$A9,'Post-test Raw'!$C:$C,"TraceGuide"))</f>
        <v/>
      </c>
      <c r="K9">
        <f>IF($A9="","",AVERAGEIFS('Post-test Raw'!$AC:$AC,'Post-test Raw'!$B:$B,$A9,'Post-test Raw'!$C:$C,"Baseline"))</f>
        <v/>
      </c>
      <c r="L9">
        <f>IF($A9="","",AVERAGEIFS('Post-test Raw'!$AC:$AC,'Post-test Raw'!$B:$B,$A9,'Post-test Raw'!$C:$C,"TraceGuide"))</f>
        <v/>
      </c>
      <c r="M9">
        <f>IF($A9="","",AVERAGEIFS('Post-test Raw'!$AD:$AD,'Post-test Raw'!$B:$B,$A9,'Post-test Raw'!$C:$C,"Baseline"))</f>
        <v/>
      </c>
      <c r="N9">
        <f>IF($A9="","",AVERAGEIFS('Post-test Raw'!$AD:$AD,'Post-test Raw'!$B:$B,$A9,'Post-test Raw'!$C:$C,"TraceGuide"))</f>
        <v/>
      </c>
      <c r="O9">
        <f>IF($A9="","",AVERAGEIFS('Post-test Raw'!$AE:$AE,'Post-test Raw'!$B:$B,$A9,'Post-test Raw'!$C:$C,"Baseline"))</f>
        <v/>
      </c>
      <c r="P9">
        <f>IF($A9="","",AVERAGEIFS('Post-test Raw'!$AE:$AE,'Post-test Raw'!$B:$B,$A9,'Post-test Raw'!$C:$C,"TraceGuide"))</f>
        <v/>
      </c>
    </row>
    <row r="10">
      <c r="A10">
        <f>IFERROR(INDEX(SORT(UNIQUE(FILTER('Raw Task Responses'!$B$2:$B$201,'Raw Task Responses'!$B$2:$B$201&lt;&gt;""))),ROW()-1),"")</f>
        <v/>
      </c>
      <c r="B10">
        <f>IF($A10="","",AVERAGEIFS('Raw Task Responses'!$P:$P,'Raw Task Responses'!$B:$B,$A10,'Raw Task Responses'!$D:$D,"Baseline"))</f>
        <v/>
      </c>
      <c r="C10">
        <f>IF($A10="","",AVERAGEIFS('Raw Task Responses'!$P:$P,'Raw Task Responses'!$B:$B,$A10,'Raw Task Responses'!$D:$D,"TraceGuide"))</f>
        <v/>
      </c>
      <c r="D10">
        <f>IF($A10="","",C10-B10)</f>
        <v/>
      </c>
      <c r="E10">
        <f>IF($A10="","",COUNTIFS('Raw Task Responses'!$B:$B,$A10,'Raw Task Responses'!$D:$D,"Baseline",'Raw Task Responses'!$P:$P,2))</f>
        <v/>
      </c>
      <c r="F10">
        <f>IF($A10="","",COUNTIFS('Raw Task Responses'!$B:$B,$A10,'Raw Task Responses'!$D:$D,"TraceGuide",'Raw Task Responses'!$P:$P,2))</f>
        <v/>
      </c>
      <c r="G10">
        <f>IF($A10="","",AVERAGEIFS('Raw Task Responses'!$R:$R,'Raw Task Responses'!$B:$B,$A10,'Raw Task Responses'!$D:$D,"Baseline"))</f>
        <v/>
      </c>
      <c r="H10">
        <f>IF($A10="","",AVERAGEIFS('Raw Task Responses'!$R:$R,'Raw Task Responses'!$B:$B,$A10,'Raw Task Responses'!$D:$D,"TraceGuide"))</f>
        <v/>
      </c>
      <c r="I10">
        <f>IF($A10="","",AVERAGEIFS('Post-test Raw'!$AB:$AB,'Post-test Raw'!$B:$B,$A10,'Post-test Raw'!$C:$C,"Baseline"))</f>
        <v/>
      </c>
      <c r="J10">
        <f>IF($A10="","",AVERAGEIFS('Post-test Raw'!$AB:$AB,'Post-test Raw'!$B:$B,$A10,'Post-test Raw'!$C:$C,"TraceGuide"))</f>
        <v/>
      </c>
      <c r="K10">
        <f>IF($A10="","",AVERAGEIFS('Post-test Raw'!$AC:$AC,'Post-test Raw'!$B:$B,$A10,'Post-test Raw'!$C:$C,"Baseline"))</f>
        <v/>
      </c>
      <c r="L10">
        <f>IF($A10="","",AVERAGEIFS('Post-test Raw'!$AC:$AC,'Post-test Raw'!$B:$B,$A10,'Post-test Raw'!$C:$C,"TraceGuide"))</f>
        <v/>
      </c>
      <c r="M10">
        <f>IF($A10="","",AVERAGEIFS('Post-test Raw'!$AD:$AD,'Post-test Raw'!$B:$B,$A10,'Post-test Raw'!$C:$C,"Baseline"))</f>
        <v/>
      </c>
      <c r="N10">
        <f>IF($A10="","",AVERAGEIFS('Post-test Raw'!$AD:$AD,'Post-test Raw'!$B:$B,$A10,'Post-test Raw'!$C:$C,"TraceGuide"))</f>
        <v/>
      </c>
      <c r="O10">
        <f>IF($A10="","",AVERAGEIFS('Post-test Raw'!$AE:$AE,'Post-test Raw'!$B:$B,$A10,'Post-test Raw'!$C:$C,"Baseline"))</f>
        <v/>
      </c>
      <c r="P10">
        <f>IF($A10="","",AVERAGEIFS('Post-test Raw'!$AE:$AE,'Post-test Raw'!$B:$B,$A10,'Post-test Raw'!$C:$C,"TraceGuide"))</f>
        <v/>
      </c>
    </row>
    <row r="11">
      <c r="A11">
        <f>IFERROR(INDEX(SORT(UNIQUE(FILTER('Raw Task Responses'!$B$2:$B$201,'Raw Task Responses'!$B$2:$B$201&lt;&gt;""))),ROW()-1),"")</f>
        <v/>
      </c>
      <c r="B11">
        <f>IF($A11="","",AVERAGEIFS('Raw Task Responses'!$P:$P,'Raw Task Responses'!$B:$B,$A11,'Raw Task Responses'!$D:$D,"Baseline"))</f>
        <v/>
      </c>
      <c r="C11">
        <f>IF($A11="","",AVERAGEIFS('Raw Task Responses'!$P:$P,'Raw Task Responses'!$B:$B,$A11,'Raw Task Responses'!$D:$D,"TraceGuide"))</f>
        <v/>
      </c>
      <c r="D11">
        <f>IF($A11="","",C11-B11)</f>
        <v/>
      </c>
      <c r="E11">
        <f>IF($A11="","",COUNTIFS('Raw Task Responses'!$B:$B,$A11,'Raw Task Responses'!$D:$D,"Baseline",'Raw Task Responses'!$P:$P,2))</f>
        <v/>
      </c>
      <c r="F11">
        <f>IF($A11="","",COUNTIFS('Raw Task Responses'!$B:$B,$A11,'Raw Task Responses'!$D:$D,"TraceGuide",'Raw Task Responses'!$P:$P,2))</f>
        <v/>
      </c>
      <c r="G11">
        <f>IF($A11="","",AVERAGEIFS('Raw Task Responses'!$R:$R,'Raw Task Responses'!$B:$B,$A11,'Raw Task Responses'!$D:$D,"Baseline"))</f>
        <v/>
      </c>
      <c r="H11">
        <f>IF($A11="","",AVERAGEIFS('Raw Task Responses'!$R:$R,'Raw Task Responses'!$B:$B,$A11,'Raw Task Responses'!$D:$D,"TraceGuide"))</f>
        <v/>
      </c>
      <c r="I11">
        <f>IF($A11="","",AVERAGEIFS('Post-test Raw'!$AB:$AB,'Post-test Raw'!$B:$B,$A11,'Post-test Raw'!$C:$C,"Baseline"))</f>
        <v/>
      </c>
      <c r="J11">
        <f>IF($A11="","",AVERAGEIFS('Post-test Raw'!$AB:$AB,'Post-test Raw'!$B:$B,$A11,'Post-test Raw'!$C:$C,"TraceGuide"))</f>
        <v/>
      </c>
      <c r="K11">
        <f>IF($A11="","",AVERAGEIFS('Post-test Raw'!$AC:$AC,'Post-test Raw'!$B:$B,$A11,'Post-test Raw'!$C:$C,"Baseline"))</f>
        <v/>
      </c>
      <c r="L11">
        <f>IF($A11="","",AVERAGEIFS('Post-test Raw'!$AC:$AC,'Post-test Raw'!$B:$B,$A11,'Post-test Raw'!$C:$C,"TraceGuide"))</f>
        <v/>
      </c>
      <c r="M11">
        <f>IF($A11="","",AVERAGEIFS('Post-test Raw'!$AD:$AD,'Post-test Raw'!$B:$B,$A11,'Post-test Raw'!$C:$C,"Baseline"))</f>
        <v/>
      </c>
      <c r="N11">
        <f>IF($A11="","",AVERAGEIFS('Post-test Raw'!$AD:$AD,'Post-test Raw'!$B:$B,$A11,'Post-test Raw'!$C:$C,"TraceGuide"))</f>
        <v/>
      </c>
      <c r="O11">
        <f>IF($A11="","",AVERAGEIFS('Post-test Raw'!$AE:$AE,'Post-test Raw'!$B:$B,$A11,'Post-test Raw'!$C:$C,"Baseline"))</f>
        <v/>
      </c>
      <c r="P11">
        <f>IF($A11="","",AVERAGEIFS('Post-test Raw'!$AE:$AE,'Post-test Raw'!$B:$B,$A11,'Post-test Raw'!$C:$C,"TraceGuide"))</f>
        <v/>
      </c>
    </row>
    <row r="12">
      <c r="A12">
        <f>IFERROR(INDEX(SORT(UNIQUE(FILTER('Raw Task Responses'!$B$2:$B$201,'Raw Task Responses'!$B$2:$B$201&lt;&gt;""))),ROW()-1),"")</f>
        <v/>
      </c>
      <c r="B12">
        <f>IF($A12="","",AVERAGEIFS('Raw Task Responses'!$P:$P,'Raw Task Responses'!$B:$B,$A12,'Raw Task Responses'!$D:$D,"Baseline"))</f>
        <v/>
      </c>
      <c r="C12">
        <f>IF($A12="","",AVERAGEIFS('Raw Task Responses'!$P:$P,'Raw Task Responses'!$B:$B,$A12,'Raw Task Responses'!$D:$D,"TraceGuide"))</f>
        <v/>
      </c>
      <c r="D12">
        <f>IF($A12="","",C12-B12)</f>
        <v/>
      </c>
      <c r="E12">
        <f>IF($A12="","",COUNTIFS('Raw Task Responses'!$B:$B,$A12,'Raw Task Responses'!$D:$D,"Baseline",'Raw Task Responses'!$P:$P,2))</f>
        <v/>
      </c>
      <c r="F12">
        <f>IF($A12="","",COUNTIFS('Raw Task Responses'!$B:$B,$A12,'Raw Task Responses'!$D:$D,"TraceGuide",'Raw Task Responses'!$P:$P,2))</f>
        <v/>
      </c>
      <c r="G12">
        <f>IF($A12="","",AVERAGEIFS('Raw Task Responses'!$R:$R,'Raw Task Responses'!$B:$B,$A12,'Raw Task Responses'!$D:$D,"Baseline"))</f>
        <v/>
      </c>
      <c r="H12">
        <f>IF($A12="","",AVERAGEIFS('Raw Task Responses'!$R:$R,'Raw Task Responses'!$B:$B,$A12,'Raw Task Responses'!$D:$D,"TraceGuide"))</f>
        <v/>
      </c>
      <c r="I12">
        <f>IF($A12="","",AVERAGEIFS('Post-test Raw'!$AB:$AB,'Post-test Raw'!$B:$B,$A12,'Post-test Raw'!$C:$C,"Baseline"))</f>
        <v/>
      </c>
      <c r="J12">
        <f>IF($A12="","",AVERAGEIFS('Post-test Raw'!$AB:$AB,'Post-test Raw'!$B:$B,$A12,'Post-test Raw'!$C:$C,"TraceGuide"))</f>
        <v/>
      </c>
      <c r="K12">
        <f>IF($A12="","",AVERAGEIFS('Post-test Raw'!$AC:$AC,'Post-test Raw'!$B:$B,$A12,'Post-test Raw'!$C:$C,"Baseline"))</f>
        <v/>
      </c>
      <c r="L12">
        <f>IF($A12="","",AVERAGEIFS('Post-test Raw'!$AC:$AC,'Post-test Raw'!$B:$B,$A12,'Post-test Raw'!$C:$C,"TraceGuide"))</f>
        <v/>
      </c>
      <c r="M12">
        <f>IF($A12="","",AVERAGEIFS('Post-test Raw'!$AD:$AD,'Post-test Raw'!$B:$B,$A12,'Post-test Raw'!$C:$C,"Baseline"))</f>
        <v/>
      </c>
      <c r="N12">
        <f>IF($A12="","",AVERAGEIFS('Post-test Raw'!$AD:$AD,'Post-test Raw'!$B:$B,$A12,'Post-test Raw'!$C:$C,"TraceGuide"))</f>
        <v/>
      </c>
      <c r="O12">
        <f>IF($A12="","",AVERAGEIFS('Post-test Raw'!$AE:$AE,'Post-test Raw'!$B:$B,$A12,'Post-test Raw'!$C:$C,"Baseline"))</f>
        <v/>
      </c>
      <c r="P12">
        <f>IF($A12="","",AVERAGEIFS('Post-test Raw'!$AE:$AE,'Post-test Raw'!$B:$B,$A12,'Post-test Raw'!$C:$C,"TraceGuide"))</f>
        <v/>
      </c>
    </row>
    <row r="13">
      <c r="A13">
        <f>IFERROR(INDEX(SORT(UNIQUE(FILTER('Raw Task Responses'!$B$2:$B$201,'Raw Task Responses'!$B$2:$B$201&lt;&gt;""))),ROW()-1),"")</f>
        <v/>
      </c>
      <c r="B13">
        <f>IF($A13="","",AVERAGEIFS('Raw Task Responses'!$P:$P,'Raw Task Responses'!$B:$B,$A13,'Raw Task Responses'!$D:$D,"Baseline"))</f>
        <v/>
      </c>
      <c r="C13">
        <f>IF($A13="","",AVERAGEIFS('Raw Task Responses'!$P:$P,'Raw Task Responses'!$B:$B,$A13,'Raw Task Responses'!$D:$D,"TraceGuide"))</f>
        <v/>
      </c>
      <c r="D13">
        <f>IF($A13="","",C13-B13)</f>
        <v/>
      </c>
      <c r="E13">
        <f>IF($A13="","",COUNTIFS('Raw Task Responses'!$B:$B,$A13,'Raw Task Responses'!$D:$D,"Baseline",'Raw Task Responses'!$P:$P,2))</f>
        <v/>
      </c>
      <c r="F13">
        <f>IF($A13="","",COUNTIFS('Raw Task Responses'!$B:$B,$A13,'Raw Task Responses'!$D:$D,"TraceGuide",'Raw Task Responses'!$P:$P,2))</f>
        <v/>
      </c>
      <c r="G13">
        <f>IF($A13="","",AVERAGEIFS('Raw Task Responses'!$R:$R,'Raw Task Responses'!$B:$B,$A13,'Raw Task Responses'!$D:$D,"Baseline"))</f>
        <v/>
      </c>
      <c r="H13">
        <f>IF($A13="","",AVERAGEIFS('Raw Task Responses'!$R:$R,'Raw Task Responses'!$B:$B,$A13,'Raw Task Responses'!$D:$D,"TraceGuide"))</f>
        <v/>
      </c>
      <c r="I13">
        <f>IF($A13="","",AVERAGEIFS('Post-test Raw'!$AB:$AB,'Post-test Raw'!$B:$B,$A13,'Post-test Raw'!$C:$C,"Baseline"))</f>
        <v/>
      </c>
      <c r="J13">
        <f>IF($A13="","",AVERAGEIFS('Post-test Raw'!$AB:$AB,'Post-test Raw'!$B:$B,$A13,'Post-test Raw'!$C:$C,"TraceGuide"))</f>
        <v/>
      </c>
      <c r="K13">
        <f>IF($A13="","",AVERAGEIFS('Post-test Raw'!$AC:$AC,'Post-test Raw'!$B:$B,$A13,'Post-test Raw'!$C:$C,"Baseline"))</f>
        <v/>
      </c>
      <c r="L13">
        <f>IF($A13="","",AVERAGEIFS('Post-test Raw'!$AC:$AC,'Post-test Raw'!$B:$B,$A13,'Post-test Raw'!$C:$C,"TraceGuide"))</f>
        <v/>
      </c>
      <c r="M13">
        <f>IF($A13="","",AVERAGEIFS('Post-test Raw'!$AD:$AD,'Post-test Raw'!$B:$B,$A13,'Post-test Raw'!$C:$C,"Baseline"))</f>
        <v/>
      </c>
      <c r="N13">
        <f>IF($A13="","",AVERAGEIFS('Post-test Raw'!$AD:$AD,'Post-test Raw'!$B:$B,$A13,'Post-test Raw'!$C:$C,"TraceGuide"))</f>
        <v/>
      </c>
      <c r="O13">
        <f>IF($A13="","",AVERAGEIFS('Post-test Raw'!$AE:$AE,'Post-test Raw'!$B:$B,$A13,'Post-test Raw'!$C:$C,"Baseline"))</f>
        <v/>
      </c>
      <c r="P13">
        <f>IF($A13="","",AVERAGEIFS('Post-test Raw'!$AE:$AE,'Post-test Raw'!$B:$B,$A13,'Post-test Raw'!$C:$C,"TraceGuide"))</f>
        <v/>
      </c>
    </row>
    <row r="14">
      <c r="A14">
        <f>IFERROR(INDEX(SORT(UNIQUE(FILTER('Raw Task Responses'!$B$2:$B$201,'Raw Task Responses'!$B$2:$B$201&lt;&gt;""))),ROW()-1),"")</f>
        <v/>
      </c>
      <c r="B14">
        <f>IF($A14="","",AVERAGEIFS('Raw Task Responses'!$P:$P,'Raw Task Responses'!$B:$B,$A14,'Raw Task Responses'!$D:$D,"Baseline"))</f>
        <v/>
      </c>
      <c r="C14">
        <f>IF($A14="","",AVERAGEIFS('Raw Task Responses'!$P:$P,'Raw Task Responses'!$B:$B,$A14,'Raw Task Responses'!$D:$D,"TraceGuide"))</f>
        <v/>
      </c>
      <c r="D14">
        <f>IF($A14="","",C14-B14)</f>
        <v/>
      </c>
      <c r="E14">
        <f>IF($A14="","",COUNTIFS('Raw Task Responses'!$B:$B,$A14,'Raw Task Responses'!$D:$D,"Baseline",'Raw Task Responses'!$P:$P,2))</f>
        <v/>
      </c>
      <c r="F14">
        <f>IF($A14="","",COUNTIFS('Raw Task Responses'!$B:$B,$A14,'Raw Task Responses'!$D:$D,"TraceGuide",'Raw Task Responses'!$P:$P,2))</f>
        <v/>
      </c>
      <c r="G14">
        <f>IF($A14="","",AVERAGEIFS('Raw Task Responses'!$R:$R,'Raw Task Responses'!$B:$B,$A14,'Raw Task Responses'!$D:$D,"Baseline"))</f>
        <v/>
      </c>
      <c r="H14">
        <f>IF($A14="","",AVERAGEIFS('Raw Task Responses'!$R:$R,'Raw Task Responses'!$B:$B,$A14,'Raw Task Responses'!$D:$D,"TraceGuide"))</f>
        <v/>
      </c>
      <c r="I14">
        <f>IF($A14="","",AVERAGEIFS('Post-test Raw'!$AB:$AB,'Post-test Raw'!$B:$B,$A14,'Post-test Raw'!$C:$C,"Baseline"))</f>
        <v/>
      </c>
      <c r="J14">
        <f>IF($A14="","",AVERAGEIFS('Post-test Raw'!$AB:$AB,'Post-test Raw'!$B:$B,$A14,'Post-test Raw'!$C:$C,"TraceGuide"))</f>
        <v/>
      </c>
      <c r="K14">
        <f>IF($A14="","",AVERAGEIFS('Post-test Raw'!$AC:$AC,'Post-test Raw'!$B:$B,$A14,'Post-test Raw'!$C:$C,"Baseline"))</f>
        <v/>
      </c>
      <c r="L14">
        <f>IF($A14="","",AVERAGEIFS('Post-test Raw'!$AC:$AC,'Post-test Raw'!$B:$B,$A14,'Post-test Raw'!$C:$C,"TraceGuide"))</f>
        <v/>
      </c>
      <c r="M14">
        <f>IF($A14="","",AVERAGEIFS('Post-test Raw'!$AD:$AD,'Post-test Raw'!$B:$B,$A14,'Post-test Raw'!$C:$C,"Baseline"))</f>
        <v/>
      </c>
      <c r="N14">
        <f>IF($A14="","",AVERAGEIFS('Post-test Raw'!$AD:$AD,'Post-test Raw'!$B:$B,$A14,'Post-test Raw'!$C:$C,"TraceGuide"))</f>
        <v/>
      </c>
      <c r="O14">
        <f>IF($A14="","",AVERAGEIFS('Post-test Raw'!$AE:$AE,'Post-test Raw'!$B:$B,$A14,'Post-test Raw'!$C:$C,"Baseline"))</f>
        <v/>
      </c>
      <c r="P14">
        <f>IF($A14="","",AVERAGEIFS('Post-test Raw'!$AE:$AE,'Post-test Raw'!$B:$B,$A14,'Post-test Raw'!$C:$C,"TraceGuide"))</f>
        <v/>
      </c>
    </row>
    <row r="15">
      <c r="A15">
        <f>IFERROR(INDEX(SORT(UNIQUE(FILTER('Raw Task Responses'!$B$2:$B$201,'Raw Task Responses'!$B$2:$B$201&lt;&gt;""))),ROW()-1),"")</f>
        <v/>
      </c>
      <c r="B15">
        <f>IF($A15="","",AVERAGEIFS('Raw Task Responses'!$P:$P,'Raw Task Responses'!$B:$B,$A15,'Raw Task Responses'!$D:$D,"Baseline"))</f>
        <v/>
      </c>
      <c r="C15">
        <f>IF($A15="","",AVERAGEIFS('Raw Task Responses'!$P:$P,'Raw Task Responses'!$B:$B,$A15,'Raw Task Responses'!$D:$D,"TraceGuide"))</f>
        <v/>
      </c>
      <c r="D15">
        <f>IF($A15="","",C15-B15)</f>
        <v/>
      </c>
      <c r="E15">
        <f>IF($A15="","",COUNTIFS('Raw Task Responses'!$B:$B,$A15,'Raw Task Responses'!$D:$D,"Baseline",'Raw Task Responses'!$P:$P,2))</f>
        <v/>
      </c>
      <c r="F15">
        <f>IF($A15="","",COUNTIFS('Raw Task Responses'!$B:$B,$A15,'Raw Task Responses'!$D:$D,"TraceGuide",'Raw Task Responses'!$P:$P,2))</f>
        <v/>
      </c>
      <c r="G15">
        <f>IF($A15="","",AVERAGEIFS('Raw Task Responses'!$R:$R,'Raw Task Responses'!$B:$B,$A15,'Raw Task Responses'!$D:$D,"Baseline"))</f>
        <v/>
      </c>
      <c r="H15">
        <f>IF($A15="","",AVERAGEIFS('Raw Task Responses'!$R:$R,'Raw Task Responses'!$B:$B,$A15,'Raw Task Responses'!$D:$D,"TraceGuide"))</f>
        <v/>
      </c>
      <c r="I15">
        <f>IF($A15="","",AVERAGEIFS('Post-test Raw'!$AB:$AB,'Post-test Raw'!$B:$B,$A15,'Post-test Raw'!$C:$C,"Baseline"))</f>
        <v/>
      </c>
      <c r="J15">
        <f>IF($A15="","",AVERAGEIFS('Post-test Raw'!$AB:$AB,'Post-test Raw'!$B:$B,$A15,'Post-test Raw'!$C:$C,"TraceGuide"))</f>
        <v/>
      </c>
      <c r="K15">
        <f>IF($A15="","",AVERAGEIFS('Post-test Raw'!$AC:$AC,'Post-test Raw'!$B:$B,$A15,'Post-test Raw'!$C:$C,"Baseline"))</f>
        <v/>
      </c>
      <c r="L15">
        <f>IF($A15="","",AVERAGEIFS('Post-test Raw'!$AC:$AC,'Post-test Raw'!$B:$B,$A15,'Post-test Raw'!$C:$C,"TraceGuide"))</f>
        <v/>
      </c>
      <c r="M15">
        <f>IF($A15="","",AVERAGEIFS('Post-test Raw'!$AD:$AD,'Post-test Raw'!$B:$B,$A15,'Post-test Raw'!$C:$C,"Baseline"))</f>
        <v/>
      </c>
      <c r="N15">
        <f>IF($A15="","",AVERAGEIFS('Post-test Raw'!$AD:$AD,'Post-test Raw'!$B:$B,$A15,'Post-test Raw'!$C:$C,"TraceGuide"))</f>
        <v/>
      </c>
      <c r="O15">
        <f>IF($A15="","",AVERAGEIFS('Post-test Raw'!$AE:$AE,'Post-test Raw'!$B:$B,$A15,'Post-test Raw'!$C:$C,"Baseline"))</f>
        <v/>
      </c>
      <c r="P15">
        <f>IF($A15="","",AVERAGEIFS('Post-test Raw'!$AE:$AE,'Post-test Raw'!$B:$B,$A15,'Post-test Raw'!$C:$C,"TraceGuide"))</f>
        <v/>
      </c>
    </row>
    <row r="16">
      <c r="A16">
        <f>IFERROR(INDEX(SORT(UNIQUE(FILTER('Raw Task Responses'!$B$2:$B$201,'Raw Task Responses'!$B$2:$B$201&lt;&gt;""))),ROW()-1),"")</f>
        <v/>
      </c>
      <c r="B16">
        <f>IF($A16="","",AVERAGEIFS('Raw Task Responses'!$P:$P,'Raw Task Responses'!$B:$B,$A16,'Raw Task Responses'!$D:$D,"Baseline"))</f>
        <v/>
      </c>
      <c r="C16">
        <f>IF($A16="","",AVERAGEIFS('Raw Task Responses'!$P:$P,'Raw Task Responses'!$B:$B,$A16,'Raw Task Responses'!$D:$D,"TraceGuide"))</f>
        <v/>
      </c>
      <c r="D16">
        <f>IF($A16="","",C16-B16)</f>
        <v/>
      </c>
      <c r="E16">
        <f>IF($A16="","",COUNTIFS('Raw Task Responses'!$B:$B,$A16,'Raw Task Responses'!$D:$D,"Baseline",'Raw Task Responses'!$P:$P,2))</f>
        <v/>
      </c>
      <c r="F16">
        <f>IF($A16="","",COUNTIFS('Raw Task Responses'!$B:$B,$A16,'Raw Task Responses'!$D:$D,"TraceGuide",'Raw Task Responses'!$P:$P,2))</f>
        <v/>
      </c>
      <c r="G16">
        <f>IF($A16="","",AVERAGEIFS('Raw Task Responses'!$R:$R,'Raw Task Responses'!$B:$B,$A16,'Raw Task Responses'!$D:$D,"Baseline"))</f>
        <v/>
      </c>
      <c r="H16">
        <f>IF($A16="","",AVERAGEIFS('Raw Task Responses'!$R:$R,'Raw Task Responses'!$B:$B,$A16,'Raw Task Responses'!$D:$D,"TraceGuide"))</f>
        <v/>
      </c>
      <c r="I16">
        <f>IF($A16="","",AVERAGEIFS('Post-test Raw'!$AB:$AB,'Post-test Raw'!$B:$B,$A16,'Post-test Raw'!$C:$C,"Baseline"))</f>
        <v/>
      </c>
      <c r="J16">
        <f>IF($A16="","",AVERAGEIFS('Post-test Raw'!$AB:$AB,'Post-test Raw'!$B:$B,$A16,'Post-test Raw'!$C:$C,"TraceGuide"))</f>
        <v/>
      </c>
      <c r="K16">
        <f>IF($A16="","",AVERAGEIFS('Post-test Raw'!$AC:$AC,'Post-test Raw'!$B:$B,$A16,'Post-test Raw'!$C:$C,"Baseline"))</f>
        <v/>
      </c>
      <c r="L16">
        <f>IF($A16="","",AVERAGEIFS('Post-test Raw'!$AC:$AC,'Post-test Raw'!$B:$B,$A16,'Post-test Raw'!$C:$C,"TraceGuide"))</f>
        <v/>
      </c>
      <c r="M16">
        <f>IF($A16="","",AVERAGEIFS('Post-test Raw'!$AD:$AD,'Post-test Raw'!$B:$B,$A16,'Post-test Raw'!$C:$C,"Baseline"))</f>
        <v/>
      </c>
      <c r="N16">
        <f>IF($A16="","",AVERAGEIFS('Post-test Raw'!$AD:$AD,'Post-test Raw'!$B:$B,$A16,'Post-test Raw'!$C:$C,"TraceGuide"))</f>
        <v/>
      </c>
      <c r="O16">
        <f>IF($A16="","",AVERAGEIFS('Post-test Raw'!$AE:$AE,'Post-test Raw'!$B:$B,$A16,'Post-test Raw'!$C:$C,"Baseline"))</f>
        <v/>
      </c>
      <c r="P16">
        <f>IF($A16="","",AVERAGEIFS('Post-test Raw'!$AE:$AE,'Post-test Raw'!$B:$B,$A16,'Post-test Raw'!$C:$C,"TraceGuide"))</f>
        <v/>
      </c>
    </row>
    <row r="17">
      <c r="A17">
        <f>IFERROR(INDEX(SORT(UNIQUE(FILTER('Raw Task Responses'!$B$2:$B$201,'Raw Task Responses'!$B$2:$B$201&lt;&gt;""))),ROW()-1),"")</f>
        <v/>
      </c>
      <c r="B17">
        <f>IF($A17="","",AVERAGEIFS('Raw Task Responses'!$P:$P,'Raw Task Responses'!$B:$B,$A17,'Raw Task Responses'!$D:$D,"Baseline"))</f>
        <v/>
      </c>
      <c r="C17">
        <f>IF($A17="","",AVERAGEIFS('Raw Task Responses'!$P:$P,'Raw Task Responses'!$B:$B,$A17,'Raw Task Responses'!$D:$D,"TraceGuide"))</f>
        <v/>
      </c>
      <c r="D17">
        <f>IF($A17="","",C17-B17)</f>
        <v/>
      </c>
      <c r="E17">
        <f>IF($A17="","",COUNTIFS('Raw Task Responses'!$B:$B,$A17,'Raw Task Responses'!$D:$D,"Baseline",'Raw Task Responses'!$P:$P,2))</f>
        <v/>
      </c>
      <c r="F17">
        <f>IF($A17="","",COUNTIFS('Raw Task Responses'!$B:$B,$A17,'Raw Task Responses'!$D:$D,"TraceGuide",'Raw Task Responses'!$P:$P,2))</f>
        <v/>
      </c>
      <c r="G17">
        <f>IF($A17="","",AVERAGEIFS('Raw Task Responses'!$R:$R,'Raw Task Responses'!$B:$B,$A17,'Raw Task Responses'!$D:$D,"Baseline"))</f>
        <v/>
      </c>
      <c r="H17">
        <f>IF($A17="","",AVERAGEIFS('Raw Task Responses'!$R:$R,'Raw Task Responses'!$B:$B,$A17,'Raw Task Responses'!$D:$D,"TraceGuide"))</f>
        <v/>
      </c>
      <c r="I17">
        <f>IF($A17="","",AVERAGEIFS('Post-test Raw'!$AB:$AB,'Post-test Raw'!$B:$B,$A17,'Post-test Raw'!$C:$C,"Baseline"))</f>
        <v/>
      </c>
      <c r="J17">
        <f>IF($A17="","",AVERAGEIFS('Post-test Raw'!$AB:$AB,'Post-test Raw'!$B:$B,$A17,'Post-test Raw'!$C:$C,"TraceGuide"))</f>
        <v/>
      </c>
      <c r="K17">
        <f>IF($A17="","",AVERAGEIFS('Post-test Raw'!$AC:$AC,'Post-test Raw'!$B:$B,$A17,'Post-test Raw'!$C:$C,"Baseline"))</f>
        <v/>
      </c>
      <c r="L17">
        <f>IF($A17="","",AVERAGEIFS('Post-test Raw'!$AC:$AC,'Post-test Raw'!$B:$B,$A17,'Post-test Raw'!$C:$C,"TraceGuide"))</f>
        <v/>
      </c>
      <c r="M17">
        <f>IF($A17="","",AVERAGEIFS('Post-test Raw'!$AD:$AD,'Post-test Raw'!$B:$B,$A17,'Post-test Raw'!$C:$C,"Baseline"))</f>
        <v/>
      </c>
      <c r="N17">
        <f>IF($A17="","",AVERAGEIFS('Post-test Raw'!$AD:$AD,'Post-test Raw'!$B:$B,$A17,'Post-test Raw'!$C:$C,"TraceGuide"))</f>
        <v/>
      </c>
      <c r="O17">
        <f>IF($A17="","",AVERAGEIFS('Post-test Raw'!$AE:$AE,'Post-test Raw'!$B:$B,$A17,'Post-test Raw'!$C:$C,"Baseline"))</f>
        <v/>
      </c>
      <c r="P17">
        <f>IF($A17="","",AVERAGEIFS('Post-test Raw'!$AE:$AE,'Post-test Raw'!$B:$B,$A17,'Post-test Raw'!$C:$C,"TraceGuide"))</f>
        <v/>
      </c>
    </row>
    <row r="18">
      <c r="A18">
        <f>IFERROR(INDEX(SORT(UNIQUE(FILTER('Raw Task Responses'!$B$2:$B$201,'Raw Task Responses'!$B$2:$B$201&lt;&gt;""))),ROW()-1),"")</f>
        <v/>
      </c>
      <c r="B18">
        <f>IF($A18="","",AVERAGEIFS('Raw Task Responses'!$P:$P,'Raw Task Responses'!$B:$B,$A18,'Raw Task Responses'!$D:$D,"Baseline"))</f>
        <v/>
      </c>
      <c r="C18">
        <f>IF($A18="","",AVERAGEIFS('Raw Task Responses'!$P:$P,'Raw Task Responses'!$B:$B,$A18,'Raw Task Responses'!$D:$D,"TraceGuide"))</f>
        <v/>
      </c>
      <c r="D18">
        <f>IF($A18="","",C18-B18)</f>
        <v/>
      </c>
      <c r="E18">
        <f>IF($A18="","",COUNTIFS('Raw Task Responses'!$B:$B,$A18,'Raw Task Responses'!$D:$D,"Baseline",'Raw Task Responses'!$P:$P,2))</f>
        <v/>
      </c>
      <c r="F18">
        <f>IF($A18="","",COUNTIFS('Raw Task Responses'!$B:$B,$A18,'Raw Task Responses'!$D:$D,"TraceGuide",'Raw Task Responses'!$P:$P,2))</f>
        <v/>
      </c>
      <c r="G18">
        <f>IF($A18="","",AVERAGEIFS('Raw Task Responses'!$R:$R,'Raw Task Responses'!$B:$B,$A18,'Raw Task Responses'!$D:$D,"Baseline"))</f>
        <v/>
      </c>
      <c r="H18">
        <f>IF($A18="","",AVERAGEIFS('Raw Task Responses'!$R:$R,'Raw Task Responses'!$B:$B,$A18,'Raw Task Responses'!$D:$D,"TraceGuide"))</f>
        <v/>
      </c>
      <c r="I18">
        <f>IF($A18="","",AVERAGEIFS('Post-test Raw'!$AB:$AB,'Post-test Raw'!$B:$B,$A18,'Post-test Raw'!$C:$C,"Baseline"))</f>
        <v/>
      </c>
      <c r="J18">
        <f>IF($A18="","",AVERAGEIFS('Post-test Raw'!$AB:$AB,'Post-test Raw'!$B:$B,$A18,'Post-test Raw'!$C:$C,"TraceGuide"))</f>
        <v/>
      </c>
      <c r="K18">
        <f>IF($A18="","",AVERAGEIFS('Post-test Raw'!$AC:$AC,'Post-test Raw'!$B:$B,$A18,'Post-test Raw'!$C:$C,"Baseline"))</f>
        <v/>
      </c>
      <c r="L18">
        <f>IF($A18="","",AVERAGEIFS('Post-test Raw'!$AC:$AC,'Post-test Raw'!$B:$B,$A18,'Post-test Raw'!$C:$C,"TraceGuide"))</f>
        <v/>
      </c>
      <c r="M18">
        <f>IF($A18="","",AVERAGEIFS('Post-test Raw'!$AD:$AD,'Post-test Raw'!$B:$B,$A18,'Post-test Raw'!$C:$C,"Baseline"))</f>
        <v/>
      </c>
      <c r="N18">
        <f>IF($A18="","",AVERAGEIFS('Post-test Raw'!$AD:$AD,'Post-test Raw'!$B:$B,$A18,'Post-test Raw'!$C:$C,"TraceGuide"))</f>
        <v/>
      </c>
      <c r="O18">
        <f>IF($A18="","",AVERAGEIFS('Post-test Raw'!$AE:$AE,'Post-test Raw'!$B:$B,$A18,'Post-test Raw'!$C:$C,"Baseline"))</f>
        <v/>
      </c>
      <c r="P18">
        <f>IF($A18="","",AVERAGEIFS('Post-test Raw'!$AE:$AE,'Post-test Raw'!$B:$B,$A18,'Post-test Raw'!$C:$C,"TraceGuide"))</f>
        <v/>
      </c>
    </row>
    <row r="19">
      <c r="A19">
        <f>IFERROR(INDEX(SORT(UNIQUE(FILTER('Raw Task Responses'!$B$2:$B$201,'Raw Task Responses'!$B$2:$B$201&lt;&gt;""))),ROW()-1),"")</f>
        <v/>
      </c>
      <c r="B19">
        <f>IF($A19="","",AVERAGEIFS('Raw Task Responses'!$P:$P,'Raw Task Responses'!$B:$B,$A19,'Raw Task Responses'!$D:$D,"Baseline"))</f>
        <v/>
      </c>
      <c r="C19">
        <f>IF($A19="","",AVERAGEIFS('Raw Task Responses'!$P:$P,'Raw Task Responses'!$B:$B,$A19,'Raw Task Responses'!$D:$D,"TraceGuide"))</f>
        <v/>
      </c>
      <c r="D19">
        <f>IF($A19="","",C19-B19)</f>
        <v/>
      </c>
      <c r="E19">
        <f>IF($A19="","",COUNTIFS('Raw Task Responses'!$B:$B,$A19,'Raw Task Responses'!$D:$D,"Baseline",'Raw Task Responses'!$P:$P,2))</f>
        <v/>
      </c>
      <c r="F19">
        <f>IF($A19="","",COUNTIFS('Raw Task Responses'!$B:$B,$A19,'Raw Task Responses'!$D:$D,"TraceGuide",'Raw Task Responses'!$P:$P,2))</f>
        <v/>
      </c>
      <c r="G19">
        <f>IF($A19="","",AVERAGEIFS('Raw Task Responses'!$R:$R,'Raw Task Responses'!$B:$B,$A19,'Raw Task Responses'!$D:$D,"Baseline"))</f>
        <v/>
      </c>
      <c r="H19">
        <f>IF($A19="","",AVERAGEIFS('Raw Task Responses'!$R:$R,'Raw Task Responses'!$B:$B,$A19,'Raw Task Responses'!$D:$D,"TraceGuide"))</f>
        <v/>
      </c>
      <c r="I19">
        <f>IF($A19="","",AVERAGEIFS('Post-test Raw'!$AB:$AB,'Post-test Raw'!$B:$B,$A19,'Post-test Raw'!$C:$C,"Baseline"))</f>
        <v/>
      </c>
      <c r="J19">
        <f>IF($A19="","",AVERAGEIFS('Post-test Raw'!$AB:$AB,'Post-test Raw'!$B:$B,$A19,'Post-test Raw'!$C:$C,"TraceGuide"))</f>
        <v/>
      </c>
      <c r="K19">
        <f>IF($A19="","",AVERAGEIFS('Post-test Raw'!$AC:$AC,'Post-test Raw'!$B:$B,$A19,'Post-test Raw'!$C:$C,"Baseline"))</f>
        <v/>
      </c>
      <c r="L19">
        <f>IF($A19="","",AVERAGEIFS('Post-test Raw'!$AC:$AC,'Post-test Raw'!$B:$B,$A19,'Post-test Raw'!$C:$C,"TraceGuide"))</f>
        <v/>
      </c>
      <c r="M19">
        <f>IF($A19="","",AVERAGEIFS('Post-test Raw'!$AD:$AD,'Post-test Raw'!$B:$B,$A19,'Post-test Raw'!$C:$C,"Baseline"))</f>
        <v/>
      </c>
      <c r="N19">
        <f>IF($A19="","",AVERAGEIFS('Post-test Raw'!$AD:$AD,'Post-test Raw'!$B:$B,$A19,'Post-test Raw'!$C:$C,"TraceGuide"))</f>
        <v/>
      </c>
      <c r="O19">
        <f>IF($A19="","",AVERAGEIFS('Post-test Raw'!$AE:$AE,'Post-test Raw'!$B:$B,$A19,'Post-test Raw'!$C:$C,"Baseline"))</f>
        <v/>
      </c>
      <c r="P19">
        <f>IF($A19="","",AVERAGEIFS('Post-test Raw'!$AE:$AE,'Post-test Raw'!$B:$B,$A19,'Post-test Raw'!$C:$C,"TraceGuide"))</f>
        <v/>
      </c>
    </row>
    <row r="20">
      <c r="A20">
        <f>IFERROR(INDEX(SORT(UNIQUE(FILTER('Raw Task Responses'!$B$2:$B$201,'Raw Task Responses'!$B$2:$B$201&lt;&gt;""))),ROW()-1),"")</f>
        <v/>
      </c>
      <c r="B20">
        <f>IF($A20="","",AVERAGEIFS('Raw Task Responses'!$P:$P,'Raw Task Responses'!$B:$B,$A20,'Raw Task Responses'!$D:$D,"Baseline"))</f>
        <v/>
      </c>
      <c r="C20">
        <f>IF($A20="","",AVERAGEIFS('Raw Task Responses'!$P:$P,'Raw Task Responses'!$B:$B,$A20,'Raw Task Responses'!$D:$D,"TraceGuide"))</f>
        <v/>
      </c>
      <c r="D20">
        <f>IF($A20="","",C20-B20)</f>
        <v/>
      </c>
      <c r="E20">
        <f>IF($A20="","",COUNTIFS('Raw Task Responses'!$B:$B,$A20,'Raw Task Responses'!$D:$D,"Baseline",'Raw Task Responses'!$P:$P,2))</f>
        <v/>
      </c>
      <c r="F20">
        <f>IF($A20="","",COUNTIFS('Raw Task Responses'!$B:$B,$A20,'Raw Task Responses'!$D:$D,"TraceGuide",'Raw Task Responses'!$P:$P,2))</f>
        <v/>
      </c>
      <c r="G20">
        <f>IF($A20="","",AVERAGEIFS('Raw Task Responses'!$R:$R,'Raw Task Responses'!$B:$B,$A20,'Raw Task Responses'!$D:$D,"Baseline"))</f>
        <v/>
      </c>
      <c r="H20">
        <f>IF($A20="","",AVERAGEIFS('Raw Task Responses'!$R:$R,'Raw Task Responses'!$B:$B,$A20,'Raw Task Responses'!$D:$D,"TraceGuide"))</f>
        <v/>
      </c>
      <c r="I20">
        <f>IF($A20="","",AVERAGEIFS('Post-test Raw'!$AB:$AB,'Post-test Raw'!$B:$B,$A20,'Post-test Raw'!$C:$C,"Baseline"))</f>
        <v/>
      </c>
      <c r="J20">
        <f>IF($A20="","",AVERAGEIFS('Post-test Raw'!$AB:$AB,'Post-test Raw'!$B:$B,$A20,'Post-test Raw'!$C:$C,"TraceGuide"))</f>
        <v/>
      </c>
      <c r="K20">
        <f>IF($A20="","",AVERAGEIFS('Post-test Raw'!$AC:$AC,'Post-test Raw'!$B:$B,$A20,'Post-test Raw'!$C:$C,"Baseline"))</f>
        <v/>
      </c>
      <c r="L20">
        <f>IF($A20="","",AVERAGEIFS('Post-test Raw'!$AC:$AC,'Post-test Raw'!$B:$B,$A20,'Post-test Raw'!$C:$C,"TraceGuide"))</f>
        <v/>
      </c>
      <c r="M20">
        <f>IF($A20="","",AVERAGEIFS('Post-test Raw'!$AD:$AD,'Post-test Raw'!$B:$B,$A20,'Post-test Raw'!$C:$C,"Baseline"))</f>
        <v/>
      </c>
      <c r="N20">
        <f>IF($A20="","",AVERAGEIFS('Post-test Raw'!$AD:$AD,'Post-test Raw'!$B:$B,$A20,'Post-test Raw'!$C:$C,"TraceGuide"))</f>
        <v/>
      </c>
      <c r="O20">
        <f>IF($A20="","",AVERAGEIFS('Post-test Raw'!$AE:$AE,'Post-test Raw'!$B:$B,$A20,'Post-test Raw'!$C:$C,"Baseline"))</f>
        <v/>
      </c>
      <c r="P20">
        <f>IF($A20="","",AVERAGEIFS('Post-test Raw'!$AE:$AE,'Post-test Raw'!$B:$B,$A20,'Post-test Raw'!$C:$C,"TraceGuide"))</f>
        <v/>
      </c>
    </row>
    <row r="21">
      <c r="A21">
        <f>IFERROR(INDEX(SORT(UNIQUE(FILTER('Raw Task Responses'!$B$2:$B$201,'Raw Task Responses'!$B$2:$B$201&lt;&gt;""))),ROW()-1),"")</f>
        <v/>
      </c>
      <c r="B21">
        <f>IF($A21="","",AVERAGEIFS('Raw Task Responses'!$P:$P,'Raw Task Responses'!$B:$B,$A21,'Raw Task Responses'!$D:$D,"Baseline"))</f>
        <v/>
      </c>
      <c r="C21">
        <f>IF($A21="","",AVERAGEIFS('Raw Task Responses'!$P:$P,'Raw Task Responses'!$B:$B,$A21,'Raw Task Responses'!$D:$D,"TraceGuide"))</f>
        <v/>
      </c>
      <c r="D21">
        <f>IF($A21="","",C21-B21)</f>
        <v/>
      </c>
      <c r="E21">
        <f>IF($A21="","",COUNTIFS('Raw Task Responses'!$B:$B,$A21,'Raw Task Responses'!$D:$D,"Baseline",'Raw Task Responses'!$P:$P,2))</f>
        <v/>
      </c>
      <c r="F21">
        <f>IF($A21="","",COUNTIFS('Raw Task Responses'!$B:$B,$A21,'Raw Task Responses'!$D:$D,"TraceGuide",'Raw Task Responses'!$P:$P,2))</f>
        <v/>
      </c>
      <c r="G21">
        <f>IF($A21="","",AVERAGEIFS('Raw Task Responses'!$R:$R,'Raw Task Responses'!$B:$B,$A21,'Raw Task Responses'!$D:$D,"Baseline"))</f>
        <v/>
      </c>
      <c r="H21">
        <f>IF($A21="","",AVERAGEIFS('Raw Task Responses'!$R:$R,'Raw Task Responses'!$B:$B,$A21,'Raw Task Responses'!$D:$D,"TraceGuide"))</f>
        <v/>
      </c>
      <c r="I21">
        <f>IF($A21="","",AVERAGEIFS('Post-test Raw'!$AB:$AB,'Post-test Raw'!$B:$B,$A21,'Post-test Raw'!$C:$C,"Baseline"))</f>
        <v/>
      </c>
      <c r="J21">
        <f>IF($A21="","",AVERAGEIFS('Post-test Raw'!$AB:$AB,'Post-test Raw'!$B:$B,$A21,'Post-test Raw'!$C:$C,"TraceGuide"))</f>
        <v/>
      </c>
      <c r="K21">
        <f>IF($A21="","",AVERAGEIFS('Post-test Raw'!$AC:$AC,'Post-test Raw'!$B:$B,$A21,'Post-test Raw'!$C:$C,"Baseline"))</f>
        <v/>
      </c>
      <c r="L21">
        <f>IF($A21="","",AVERAGEIFS('Post-test Raw'!$AC:$AC,'Post-test Raw'!$B:$B,$A21,'Post-test Raw'!$C:$C,"TraceGuide"))</f>
        <v/>
      </c>
      <c r="M21">
        <f>IF($A21="","",AVERAGEIFS('Post-test Raw'!$AD:$AD,'Post-test Raw'!$B:$B,$A21,'Post-test Raw'!$C:$C,"Baseline"))</f>
        <v/>
      </c>
      <c r="N21">
        <f>IF($A21="","",AVERAGEIFS('Post-test Raw'!$AD:$AD,'Post-test Raw'!$B:$B,$A21,'Post-test Raw'!$C:$C,"TraceGuide"))</f>
        <v/>
      </c>
      <c r="O21">
        <f>IF($A21="","",AVERAGEIFS('Post-test Raw'!$AE:$AE,'Post-test Raw'!$B:$B,$A21,'Post-test Raw'!$C:$C,"Baseline"))</f>
        <v/>
      </c>
      <c r="P21">
        <f>IF($A21="","",AVERAGEIFS('Post-test Raw'!$AE:$AE,'Post-test Raw'!$B:$B,$A21,'Post-test Raw'!$C:$C,"TraceGuide"))</f>
        <v/>
      </c>
    </row>
    <row r="22">
      <c r="A22">
        <f>IFERROR(INDEX(SORT(UNIQUE(FILTER('Raw Task Responses'!$B$2:$B$201,'Raw Task Responses'!$B$2:$B$201&lt;&gt;""))),ROW()-1),"")</f>
        <v/>
      </c>
      <c r="B22">
        <f>IF($A22="","",AVERAGEIFS('Raw Task Responses'!$P:$P,'Raw Task Responses'!$B:$B,$A22,'Raw Task Responses'!$D:$D,"Baseline"))</f>
        <v/>
      </c>
      <c r="C22">
        <f>IF($A22="","",AVERAGEIFS('Raw Task Responses'!$P:$P,'Raw Task Responses'!$B:$B,$A22,'Raw Task Responses'!$D:$D,"TraceGuide"))</f>
        <v/>
      </c>
      <c r="D22">
        <f>IF($A22="","",C22-B22)</f>
        <v/>
      </c>
      <c r="E22">
        <f>IF($A22="","",COUNTIFS('Raw Task Responses'!$B:$B,$A22,'Raw Task Responses'!$D:$D,"Baseline",'Raw Task Responses'!$P:$P,2))</f>
        <v/>
      </c>
      <c r="F22">
        <f>IF($A22="","",COUNTIFS('Raw Task Responses'!$B:$B,$A22,'Raw Task Responses'!$D:$D,"TraceGuide",'Raw Task Responses'!$P:$P,2))</f>
        <v/>
      </c>
      <c r="G22">
        <f>IF($A22="","",AVERAGEIFS('Raw Task Responses'!$R:$R,'Raw Task Responses'!$B:$B,$A22,'Raw Task Responses'!$D:$D,"Baseline"))</f>
        <v/>
      </c>
      <c r="H22">
        <f>IF($A22="","",AVERAGEIFS('Raw Task Responses'!$R:$R,'Raw Task Responses'!$B:$B,$A22,'Raw Task Responses'!$D:$D,"TraceGuide"))</f>
        <v/>
      </c>
      <c r="I22">
        <f>IF($A22="","",AVERAGEIFS('Post-test Raw'!$AB:$AB,'Post-test Raw'!$B:$B,$A22,'Post-test Raw'!$C:$C,"Baseline"))</f>
        <v/>
      </c>
      <c r="J22">
        <f>IF($A22="","",AVERAGEIFS('Post-test Raw'!$AB:$AB,'Post-test Raw'!$B:$B,$A22,'Post-test Raw'!$C:$C,"TraceGuide"))</f>
        <v/>
      </c>
      <c r="K22">
        <f>IF($A22="","",AVERAGEIFS('Post-test Raw'!$AC:$AC,'Post-test Raw'!$B:$B,$A22,'Post-test Raw'!$C:$C,"Baseline"))</f>
        <v/>
      </c>
      <c r="L22">
        <f>IF($A22="","",AVERAGEIFS('Post-test Raw'!$AC:$AC,'Post-test Raw'!$B:$B,$A22,'Post-test Raw'!$C:$C,"TraceGuide"))</f>
        <v/>
      </c>
      <c r="M22">
        <f>IF($A22="","",AVERAGEIFS('Post-test Raw'!$AD:$AD,'Post-test Raw'!$B:$B,$A22,'Post-test Raw'!$C:$C,"Baseline"))</f>
        <v/>
      </c>
      <c r="N22">
        <f>IF($A22="","",AVERAGEIFS('Post-test Raw'!$AD:$AD,'Post-test Raw'!$B:$B,$A22,'Post-test Raw'!$C:$C,"TraceGuide"))</f>
        <v/>
      </c>
      <c r="O22">
        <f>IF($A22="","",AVERAGEIFS('Post-test Raw'!$AE:$AE,'Post-test Raw'!$B:$B,$A22,'Post-test Raw'!$C:$C,"Baseline"))</f>
        <v/>
      </c>
      <c r="P22">
        <f>IF($A22="","",AVERAGEIFS('Post-test Raw'!$AE:$AE,'Post-test Raw'!$B:$B,$A22,'Post-test Raw'!$C:$C,"TraceGuide"))</f>
        <v/>
      </c>
    </row>
    <row r="23">
      <c r="A23">
        <f>IFERROR(INDEX(SORT(UNIQUE(FILTER('Raw Task Responses'!$B$2:$B$201,'Raw Task Responses'!$B$2:$B$201&lt;&gt;""))),ROW()-1),"")</f>
        <v/>
      </c>
      <c r="B23">
        <f>IF($A23="","",AVERAGEIFS('Raw Task Responses'!$P:$P,'Raw Task Responses'!$B:$B,$A23,'Raw Task Responses'!$D:$D,"Baseline"))</f>
        <v/>
      </c>
      <c r="C23">
        <f>IF($A23="","",AVERAGEIFS('Raw Task Responses'!$P:$P,'Raw Task Responses'!$B:$B,$A23,'Raw Task Responses'!$D:$D,"TraceGuide"))</f>
        <v/>
      </c>
      <c r="D23">
        <f>IF($A23="","",C23-B23)</f>
        <v/>
      </c>
      <c r="E23">
        <f>IF($A23="","",COUNTIFS('Raw Task Responses'!$B:$B,$A23,'Raw Task Responses'!$D:$D,"Baseline",'Raw Task Responses'!$P:$P,2))</f>
        <v/>
      </c>
      <c r="F23">
        <f>IF($A23="","",COUNTIFS('Raw Task Responses'!$B:$B,$A23,'Raw Task Responses'!$D:$D,"TraceGuide",'Raw Task Responses'!$P:$P,2))</f>
        <v/>
      </c>
      <c r="G23">
        <f>IF($A23="","",AVERAGEIFS('Raw Task Responses'!$R:$R,'Raw Task Responses'!$B:$B,$A23,'Raw Task Responses'!$D:$D,"Baseline"))</f>
        <v/>
      </c>
      <c r="H23">
        <f>IF($A23="","",AVERAGEIFS('Raw Task Responses'!$R:$R,'Raw Task Responses'!$B:$B,$A23,'Raw Task Responses'!$D:$D,"TraceGuide"))</f>
        <v/>
      </c>
      <c r="I23">
        <f>IF($A23="","",AVERAGEIFS('Post-test Raw'!$AB:$AB,'Post-test Raw'!$B:$B,$A23,'Post-test Raw'!$C:$C,"Baseline"))</f>
        <v/>
      </c>
      <c r="J23">
        <f>IF($A23="","",AVERAGEIFS('Post-test Raw'!$AB:$AB,'Post-test Raw'!$B:$B,$A23,'Post-test Raw'!$C:$C,"TraceGuide"))</f>
        <v/>
      </c>
      <c r="K23">
        <f>IF($A23="","",AVERAGEIFS('Post-test Raw'!$AC:$AC,'Post-test Raw'!$B:$B,$A23,'Post-test Raw'!$C:$C,"Baseline"))</f>
        <v/>
      </c>
      <c r="L23">
        <f>IF($A23="","",AVERAGEIFS('Post-test Raw'!$AC:$AC,'Post-test Raw'!$B:$B,$A23,'Post-test Raw'!$C:$C,"TraceGuide"))</f>
        <v/>
      </c>
      <c r="M23">
        <f>IF($A23="","",AVERAGEIFS('Post-test Raw'!$AD:$AD,'Post-test Raw'!$B:$B,$A23,'Post-test Raw'!$C:$C,"Baseline"))</f>
        <v/>
      </c>
      <c r="N23">
        <f>IF($A23="","",AVERAGEIFS('Post-test Raw'!$AD:$AD,'Post-test Raw'!$B:$B,$A23,'Post-test Raw'!$C:$C,"TraceGuide"))</f>
        <v/>
      </c>
      <c r="O23">
        <f>IF($A23="","",AVERAGEIFS('Post-test Raw'!$AE:$AE,'Post-test Raw'!$B:$B,$A23,'Post-test Raw'!$C:$C,"Baseline"))</f>
        <v/>
      </c>
      <c r="P23">
        <f>IF($A23="","",AVERAGEIFS('Post-test Raw'!$AE:$AE,'Post-test Raw'!$B:$B,$A23,'Post-test Raw'!$C:$C,"TraceGuide"))</f>
        <v/>
      </c>
    </row>
    <row r="24">
      <c r="A24">
        <f>IFERROR(INDEX(SORT(UNIQUE(FILTER('Raw Task Responses'!$B$2:$B$201,'Raw Task Responses'!$B$2:$B$201&lt;&gt;""))),ROW()-1),"")</f>
        <v/>
      </c>
      <c r="B24">
        <f>IF($A24="","",AVERAGEIFS('Raw Task Responses'!$P:$P,'Raw Task Responses'!$B:$B,$A24,'Raw Task Responses'!$D:$D,"Baseline"))</f>
        <v/>
      </c>
      <c r="C24">
        <f>IF($A24="","",AVERAGEIFS('Raw Task Responses'!$P:$P,'Raw Task Responses'!$B:$B,$A24,'Raw Task Responses'!$D:$D,"TraceGuide"))</f>
        <v/>
      </c>
      <c r="D24">
        <f>IF($A24="","",C24-B24)</f>
        <v/>
      </c>
      <c r="E24">
        <f>IF($A24="","",COUNTIFS('Raw Task Responses'!$B:$B,$A24,'Raw Task Responses'!$D:$D,"Baseline",'Raw Task Responses'!$P:$P,2))</f>
        <v/>
      </c>
      <c r="F24">
        <f>IF($A24="","",COUNTIFS('Raw Task Responses'!$B:$B,$A24,'Raw Task Responses'!$D:$D,"TraceGuide",'Raw Task Responses'!$P:$P,2))</f>
        <v/>
      </c>
      <c r="G24">
        <f>IF($A24="","",AVERAGEIFS('Raw Task Responses'!$R:$R,'Raw Task Responses'!$B:$B,$A24,'Raw Task Responses'!$D:$D,"Baseline"))</f>
        <v/>
      </c>
      <c r="H24">
        <f>IF($A24="","",AVERAGEIFS('Raw Task Responses'!$R:$R,'Raw Task Responses'!$B:$B,$A24,'Raw Task Responses'!$D:$D,"TraceGuide"))</f>
        <v/>
      </c>
      <c r="I24">
        <f>IF($A24="","",AVERAGEIFS('Post-test Raw'!$AB:$AB,'Post-test Raw'!$B:$B,$A24,'Post-test Raw'!$C:$C,"Baseline"))</f>
        <v/>
      </c>
      <c r="J24">
        <f>IF($A24="","",AVERAGEIFS('Post-test Raw'!$AB:$AB,'Post-test Raw'!$B:$B,$A24,'Post-test Raw'!$C:$C,"TraceGuide"))</f>
        <v/>
      </c>
      <c r="K24">
        <f>IF($A24="","",AVERAGEIFS('Post-test Raw'!$AC:$AC,'Post-test Raw'!$B:$B,$A24,'Post-test Raw'!$C:$C,"Baseline"))</f>
        <v/>
      </c>
      <c r="L24">
        <f>IF($A24="","",AVERAGEIFS('Post-test Raw'!$AC:$AC,'Post-test Raw'!$B:$B,$A24,'Post-test Raw'!$C:$C,"TraceGuide"))</f>
        <v/>
      </c>
      <c r="M24">
        <f>IF($A24="","",AVERAGEIFS('Post-test Raw'!$AD:$AD,'Post-test Raw'!$B:$B,$A24,'Post-test Raw'!$C:$C,"Baseline"))</f>
        <v/>
      </c>
      <c r="N24">
        <f>IF($A24="","",AVERAGEIFS('Post-test Raw'!$AD:$AD,'Post-test Raw'!$B:$B,$A24,'Post-test Raw'!$C:$C,"TraceGuide"))</f>
        <v/>
      </c>
      <c r="O24">
        <f>IF($A24="","",AVERAGEIFS('Post-test Raw'!$AE:$AE,'Post-test Raw'!$B:$B,$A24,'Post-test Raw'!$C:$C,"Baseline"))</f>
        <v/>
      </c>
      <c r="P24">
        <f>IF($A24="","",AVERAGEIFS('Post-test Raw'!$AE:$AE,'Post-test Raw'!$B:$B,$A24,'Post-test Raw'!$C:$C,"TraceGuide"))</f>
        <v/>
      </c>
    </row>
    <row r="25">
      <c r="A25">
        <f>IFERROR(INDEX(SORT(UNIQUE(FILTER('Raw Task Responses'!$B$2:$B$201,'Raw Task Responses'!$B$2:$B$201&lt;&gt;""))),ROW()-1),"")</f>
        <v/>
      </c>
      <c r="B25">
        <f>IF($A25="","",AVERAGEIFS('Raw Task Responses'!$P:$P,'Raw Task Responses'!$B:$B,$A25,'Raw Task Responses'!$D:$D,"Baseline"))</f>
        <v/>
      </c>
      <c r="C25">
        <f>IF($A25="","",AVERAGEIFS('Raw Task Responses'!$P:$P,'Raw Task Responses'!$B:$B,$A25,'Raw Task Responses'!$D:$D,"TraceGuide"))</f>
        <v/>
      </c>
      <c r="D25">
        <f>IF($A25="","",C25-B25)</f>
        <v/>
      </c>
      <c r="E25">
        <f>IF($A25="","",COUNTIFS('Raw Task Responses'!$B:$B,$A25,'Raw Task Responses'!$D:$D,"Baseline",'Raw Task Responses'!$P:$P,2))</f>
        <v/>
      </c>
      <c r="F25">
        <f>IF($A25="","",COUNTIFS('Raw Task Responses'!$B:$B,$A25,'Raw Task Responses'!$D:$D,"TraceGuide",'Raw Task Responses'!$P:$P,2))</f>
        <v/>
      </c>
      <c r="G25">
        <f>IF($A25="","",AVERAGEIFS('Raw Task Responses'!$R:$R,'Raw Task Responses'!$B:$B,$A25,'Raw Task Responses'!$D:$D,"Baseline"))</f>
        <v/>
      </c>
      <c r="H25">
        <f>IF($A25="","",AVERAGEIFS('Raw Task Responses'!$R:$R,'Raw Task Responses'!$B:$B,$A25,'Raw Task Responses'!$D:$D,"TraceGuide"))</f>
        <v/>
      </c>
      <c r="I25">
        <f>IF($A25="","",AVERAGEIFS('Post-test Raw'!$AB:$AB,'Post-test Raw'!$B:$B,$A25,'Post-test Raw'!$C:$C,"Baseline"))</f>
        <v/>
      </c>
      <c r="J25">
        <f>IF($A25="","",AVERAGEIFS('Post-test Raw'!$AB:$AB,'Post-test Raw'!$B:$B,$A25,'Post-test Raw'!$C:$C,"TraceGuide"))</f>
        <v/>
      </c>
      <c r="K25">
        <f>IF($A25="","",AVERAGEIFS('Post-test Raw'!$AC:$AC,'Post-test Raw'!$B:$B,$A25,'Post-test Raw'!$C:$C,"Baseline"))</f>
        <v/>
      </c>
      <c r="L25">
        <f>IF($A25="","",AVERAGEIFS('Post-test Raw'!$AC:$AC,'Post-test Raw'!$B:$B,$A25,'Post-test Raw'!$C:$C,"TraceGuide"))</f>
        <v/>
      </c>
      <c r="M25">
        <f>IF($A25="","",AVERAGEIFS('Post-test Raw'!$AD:$AD,'Post-test Raw'!$B:$B,$A25,'Post-test Raw'!$C:$C,"Baseline"))</f>
        <v/>
      </c>
      <c r="N25">
        <f>IF($A25="","",AVERAGEIFS('Post-test Raw'!$AD:$AD,'Post-test Raw'!$B:$B,$A25,'Post-test Raw'!$C:$C,"TraceGuide"))</f>
        <v/>
      </c>
      <c r="O25">
        <f>IF($A25="","",AVERAGEIFS('Post-test Raw'!$AE:$AE,'Post-test Raw'!$B:$B,$A25,'Post-test Raw'!$C:$C,"Baseline"))</f>
        <v/>
      </c>
      <c r="P25">
        <f>IF($A25="","",AVERAGEIFS('Post-test Raw'!$AE:$AE,'Post-test Raw'!$B:$B,$A25,'Post-test Raw'!$C:$C,"TraceGuide"))</f>
        <v/>
      </c>
    </row>
    <row r="26">
      <c r="A26">
        <f>IFERROR(INDEX(SORT(UNIQUE(FILTER('Raw Task Responses'!$B$2:$B$201,'Raw Task Responses'!$B$2:$B$201&lt;&gt;""))),ROW()-1),"")</f>
        <v/>
      </c>
      <c r="B26">
        <f>IF($A26="","",AVERAGEIFS('Raw Task Responses'!$P:$P,'Raw Task Responses'!$B:$B,$A26,'Raw Task Responses'!$D:$D,"Baseline"))</f>
        <v/>
      </c>
      <c r="C26">
        <f>IF($A26="","",AVERAGEIFS('Raw Task Responses'!$P:$P,'Raw Task Responses'!$B:$B,$A26,'Raw Task Responses'!$D:$D,"TraceGuide"))</f>
        <v/>
      </c>
      <c r="D26">
        <f>IF($A26="","",C26-B26)</f>
        <v/>
      </c>
      <c r="E26">
        <f>IF($A26="","",COUNTIFS('Raw Task Responses'!$B:$B,$A26,'Raw Task Responses'!$D:$D,"Baseline",'Raw Task Responses'!$P:$P,2))</f>
        <v/>
      </c>
      <c r="F26">
        <f>IF($A26="","",COUNTIFS('Raw Task Responses'!$B:$B,$A26,'Raw Task Responses'!$D:$D,"TraceGuide",'Raw Task Responses'!$P:$P,2))</f>
        <v/>
      </c>
      <c r="G26">
        <f>IF($A26="","",AVERAGEIFS('Raw Task Responses'!$R:$R,'Raw Task Responses'!$B:$B,$A26,'Raw Task Responses'!$D:$D,"Baseline"))</f>
        <v/>
      </c>
      <c r="H26">
        <f>IF($A26="","",AVERAGEIFS('Raw Task Responses'!$R:$R,'Raw Task Responses'!$B:$B,$A26,'Raw Task Responses'!$D:$D,"TraceGuide"))</f>
        <v/>
      </c>
      <c r="I26">
        <f>IF($A26="","",AVERAGEIFS('Post-test Raw'!$AB:$AB,'Post-test Raw'!$B:$B,$A26,'Post-test Raw'!$C:$C,"Baseline"))</f>
        <v/>
      </c>
      <c r="J26">
        <f>IF($A26="","",AVERAGEIFS('Post-test Raw'!$AB:$AB,'Post-test Raw'!$B:$B,$A26,'Post-test Raw'!$C:$C,"TraceGuide"))</f>
        <v/>
      </c>
      <c r="K26">
        <f>IF($A26="","",AVERAGEIFS('Post-test Raw'!$AC:$AC,'Post-test Raw'!$B:$B,$A26,'Post-test Raw'!$C:$C,"Baseline"))</f>
        <v/>
      </c>
      <c r="L26">
        <f>IF($A26="","",AVERAGEIFS('Post-test Raw'!$AC:$AC,'Post-test Raw'!$B:$B,$A26,'Post-test Raw'!$C:$C,"TraceGuide"))</f>
        <v/>
      </c>
      <c r="M26">
        <f>IF($A26="","",AVERAGEIFS('Post-test Raw'!$AD:$AD,'Post-test Raw'!$B:$B,$A26,'Post-test Raw'!$C:$C,"Baseline"))</f>
        <v/>
      </c>
      <c r="N26">
        <f>IF($A26="","",AVERAGEIFS('Post-test Raw'!$AD:$AD,'Post-test Raw'!$B:$B,$A26,'Post-test Raw'!$C:$C,"TraceGuide"))</f>
        <v/>
      </c>
      <c r="O26">
        <f>IF($A26="","",AVERAGEIFS('Post-test Raw'!$AE:$AE,'Post-test Raw'!$B:$B,$A26,'Post-test Raw'!$C:$C,"Baseline"))</f>
        <v/>
      </c>
      <c r="P26">
        <f>IF($A26="","",AVERAGEIFS('Post-test Raw'!$AE:$AE,'Post-test Raw'!$B:$B,$A26,'Post-test Raw'!$C:$C,"TraceGuide"))</f>
        <v/>
      </c>
    </row>
    <row r="27">
      <c r="A27">
        <f>IFERROR(INDEX(SORT(UNIQUE(FILTER('Raw Task Responses'!$B$2:$B$201,'Raw Task Responses'!$B$2:$B$201&lt;&gt;""))),ROW()-1),"")</f>
        <v/>
      </c>
      <c r="B27">
        <f>IF($A27="","",AVERAGEIFS('Raw Task Responses'!$P:$P,'Raw Task Responses'!$B:$B,$A27,'Raw Task Responses'!$D:$D,"Baseline"))</f>
        <v/>
      </c>
      <c r="C27">
        <f>IF($A27="","",AVERAGEIFS('Raw Task Responses'!$P:$P,'Raw Task Responses'!$B:$B,$A27,'Raw Task Responses'!$D:$D,"TraceGuide"))</f>
        <v/>
      </c>
      <c r="D27">
        <f>IF($A27="","",C27-B27)</f>
        <v/>
      </c>
      <c r="E27">
        <f>IF($A27="","",COUNTIFS('Raw Task Responses'!$B:$B,$A27,'Raw Task Responses'!$D:$D,"Baseline",'Raw Task Responses'!$P:$P,2))</f>
        <v/>
      </c>
      <c r="F27">
        <f>IF($A27="","",COUNTIFS('Raw Task Responses'!$B:$B,$A27,'Raw Task Responses'!$D:$D,"TraceGuide",'Raw Task Responses'!$P:$P,2))</f>
        <v/>
      </c>
      <c r="G27">
        <f>IF($A27="","",AVERAGEIFS('Raw Task Responses'!$R:$R,'Raw Task Responses'!$B:$B,$A27,'Raw Task Responses'!$D:$D,"Baseline"))</f>
        <v/>
      </c>
      <c r="H27">
        <f>IF($A27="","",AVERAGEIFS('Raw Task Responses'!$R:$R,'Raw Task Responses'!$B:$B,$A27,'Raw Task Responses'!$D:$D,"TraceGuide"))</f>
        <v/>
      </c>
      <c r="I27">
        <f>IF($A27="","",AVERAGEIFS('Post-test Raw'!$AB:$AB,'Post-test Raw'!$B:$B,$A27,'Post-test Raw'!$C:$C,"Baseline"))</f>
        <v/>
      </c>
      <c r="J27">
        <f>IF($A27="","",AVERAGEIFS('Post-test Raw'!$AB:$AB,'Post-test Raw'!$B:$B,$A27,'Post-test Raw'!$C:$C,"TraceGuide"))</f>
        <v/>
      </c>
      <c r="K27">
        <f>IF($A27="","",AVERAGEIFS('Post-test Raw'!$AC:$AC,'Post-test Raw'!$B:$B,$A27,'Post-test Raw'!$C:$C,"Baseline"))</f>
        <v/>
      </c>
      <c r="L27">
        <f>IF($A27="","",AVERAGEIFS('Post-test Raw'!$AC:$AC,'Post-test Raw'!$B:$B,$A27,'Post-test Raw'!$C:$C,"TraceGuide"))</f>
        <v/>
      </c>
      <c r="M27">
        <f>IF($A27="","",AVERAGEIFS('Post-test Raw'!$AD:$AD,'Post-test Raw'!$B:$B,$A27,'Post-test Raw'!$C:$C,"Baseline"))</f>
        <v/>
      </c>
      <c r="N27">
        <f>IF($A27="","",AVERAGEIFS('Post-test Raw'!$AD:$AD,'Post-test Raw'!$B:$B,$A27,'Post-test Raw'!$C:$C,"TraceGuide"))</f>
        <v/>
      </c>
      <c r="O27">
        <f>IF($A27="","",AVERAGEIFS('Post-test Raw'!$AE:$AE,'Post-test Raw'!$B:$B,$A27,'Post-test Raw'!$C:$C,"Baseline"))</f>
        <v/>
      </c>
      <c r="P27">
        <f>IF($A27="","",AVERAGEIFS('Post-test Raw'!$AE:$AE,'Post-test Raw'!$B:$B,$A27,'Post-test Raw'!$C:$C,"TraceGuide"))</f>
        <v/>
      </c>
    </row>
    <row r="28">
      <c r="A28">
        <f>IFERROR(INDEX(SORT(UNIQUE(FILTER('Raw Task Responses'!$B$2:$B$201,'Raw Task Responses'!$B$2:$B$201&lt;&gt;""))),ROW()-1),"")</f>
        <v/>
      </c>
      <c r="B28">
        <f>IF($A28="","",AVERAGEIFS('Raw Task Responses'!$P:$P,'Raw Task Responses'!$B:$B,$A28,'Raw Task Responses'!$D:$D,"Baseline"))</f>
        <v/>
      </c>
      <c r="C28">
        <f>IF($A28="","",AVERAGEIFS('Raw Task Responses'!$P:$P,'Raw Task Responses'!$B:$B,$A28,'Raw Task Responses'!$D:$D,"TraceGuide"))</f>
        <v/>
      </c>
      <c r="D28">
        <f>IF($A28="","",C28-B28)</f>
        <v/>
      </c>
      <c r="E28">
        <f>IF($A28="","",COUNTIFS('Raw Task Responses'!$B:$B,$A28,'Raw Task Responses'!$D:$D,"Baseline",'Raw Task Responses'!$P:$P,2))</f>
        <v/>
      </c>
      <c r="F28">
        <f>IF($A28="","",COUNTIFS('Raw Task Responses'!$B:$B,$A28,'Raw Task Responses'!$D:$D,"TraceGuide",'Raw Task Responses'!$P:$P,2))</f>
        <v/>
      </c>
      <c r="G28">
        <f>IF($A28="","",AVERAGEIFS('Raw Task Responses'!$R:$R,'Raw Task Responses'!$B:$B,$A28,'Raw Task Responses'!$D:$D,"Baseline"))</f>
        <v/>
      </c>
      <c r="H28">
        <f>IF($A28="","",AVERAGEIFS('Raw Task Responses'!$R:$R,'Raw Task Responses'!$B:$B,$A28,'Raw Task Responses'!$D:$D,"TraceGuide"))</f>
        <v/>
      </c>
      <c r="I28">
        <f>IF($A28="","",AVERAGEIFS('Post-test Raw'!$AB:$AB,'Post-test Raw'!$B:$B,$A28,'Post-test Raw'!$C:$C,"Baseline"))</f>
        <v/>
      </c>
      <c r="J28">
        <f>IF($A28="","",AVERAGEIFS('Post-test Raw'!$AB:$AB,'Post-test Raw'!$B:$B,$A28,'Post-test Raw'!$C:$C,"TraceGuide"))</f>
        <v/>
      </c>
      <c r="K28">
        <f>IF($A28="","",AVERAGEIFS('Post-test Raw'!$AC:$AC,'Post-test Raw'!$B:$B,$A28,'Post-test Raw'!$C:$C,"Baseline"))</f>
        <v/>
      </c>
      <c r="L28">
        <f>IF($A28="","",AVERAGEIFS('Post-test Raw'!$AC:$AC,'Post-test Raw'!$B:$B,$A28,'Post-test Raw'!$C:$C,"TraceGuide"))</f>
        <v/>
      </c>
      <c r="M28">
        <f>IF($A28="","",AVERAGEIFS('Post-test Raw'!$AD:$AD,'Post-test Raw'!$B:$B,$A28,'Post-test Raw'!$C:$C,"Baseline"))</f>
        <v/>
      </c>
      <c r="N28">
        <f>IF($A28="","",AVERAGEIFS('Post-test Raw'!$AD:$AD,'Post-test Raw'!$B:$B,$A28,'Post-test Raw'!$C:$C,"TraceGuide"))</f>
        <v/>
      </c>
      <c r="O28">
        <f>IF($A28="","",AVERAGEIFS('Post-test Raw'!$AE:$AE,'Post-test Raw'!$B:$B,$A28,'Post-test Raw'!$C:$C,"Baseline"))</f>
        <v/>
      </c>
      <c r="P28">
        <f>IF($A28="","",AVERAGEIFS('Post-test Raw'!$AE:$AE,'Post-test Raw'!$B:$B,$A28,'Post-test Raw'!$C:$C,"TraceGuide"))</f>
        <v/>
      </c>
    </row>
    <row r="29">
      <c r="A29">
        <f>IFERROR(INDEX(SORT(UNIQUE(FILTER('Raw Task Responses'!$B$2:$B$201,'Raw Task Responses'!$B$2:$B$201&lt;&gt;""))),ROW()-1),"")</f>
        <v/>
      </c>
      <c r="B29">
        <f>IF($A29="","",AVERAGEIFS('Raw Task Responses'!$P:$P,'Raw Task Responses'!$B:$B,$A29,'Raw Task Responses'!$D:$D,"Baseline"))</f>
        <v/>
      </c>
      <c r="C29">
        <f>IF($A29="","",AVERAGEIFS('Raw Task Responses'!$P:$P,'Raw Task Responses'!$B:$B,$A29,'Raw Task Responses'!$D:$D,"TraceGuide"))</f>
        <v/>
      </c>
      <c r="D29">
        <f>IF($A29="","",C29-B29)</f>
        <v/>
      </c>
      <c r="E29">
        <f>IF($A29="","",COUNTIFS('Raw Task Responses'!$B:$B,$A29,'Raw Task Responses'!$D:$D,"Baseline",'Raw Task Responses'!$P:$P,2))</f>
        <v/>
      </c>
      <c r="F29">
        <f>IF($A29="","",COUNTIFS('Raw Task Responses'!$B:$B,$A29,'Raw Task Responses'!$D:$D,"TraceGuide",'Raw Task Responses'!$P:$P,2))</f>
        <v/>
      </c>
      <c r="G29">
        <f>IF($A29="","",AVERAGEIFS('Raw Task Responses'!$R:$R,'Raw Task Responses'!$B:$B,$A29,'Raw Task Responses'!$D:$D,"Baseline"))</f>
        <v/>
      </c>
      <c r="H29">
        <f>IF($A29="","",AVERAGEIFS('Raw Task Responses'!$R:$R,'Raw Task Responses'!$B:$B,$A29,'Raw Task Responses'!$D:$D,"TraceGuide"))</f>
        <v/>
      </c>
      <c r="I29">
        <f>IF($A29="","",AVERAGEIFS('Post-test Raw'!$AB:$AB,'Post-test Raw'!$B:$B,$A29,'Post-test Raw'!$C:$C,"Baseline"))</f>
        <v/>
      </c>
      <c r="J29">
        <f>IF($A29="","",AVERAGEIFS('Post-test Raw'!$AB:$AB,'Post-test Raw'!$B:$B,$A29,'Post-test Raw'!$C:$C,"TraceGuide"))</f>
        <v/>
      </c>
      <c r="K29">
        <f>IF($A29="","",AVERAGEIFS('Post-test Raw'!$AC:$AC,'Post-test Raw'!$B:$B,$A29,'Post-test Raw'!$C:$C,"Baseline"))</f>
        <v/>
      </c>
      <c r="L29">
        <f>IF($A29="","",AVERAGEIFS('Post-test Raw'!$AC:$AC,'Post-test Raw'!$B:$B,$A29,'Post-test Raw'!$C:$C,"TraceGuide"))</f>
        <v/>
      </c>
      <c r="M29">
        <f>IF($A29="","",AVERAGEIFS('Post-test Raw'!$AD:$AD,'Post-test Raw'!$B:$B,$A29,'Post-test Raw'!$C:$C,"Baseline"))</f>
        <v/>
      </c>
      <c r="N29">
        <f>IF($A29="","",AVERAGEIFS('Post-test Raw'!$AD:$AD,'Post-test Raw'!$B:$B,$A29,'Post-test Raw'!$C:$C,"TraceGuide"))</f>
        <v/>
      </c>
      <c r="O29">
        <f>IF($A29="","",AVERAGEIFS('Post-test Raw'!$AE:$AE,'Post-test Raw'!$B:$B,$A29,'Post-test Raw'!$C:$C,"Baseline"))</f>
        <v/>
      </c>
      <c r="P29">
        <f>IF($A29="","",AVERAGEIFS('Post-test Raw'!$AE:$AE,'Post-test Raw'!$B:$B,$A29,'Post-test Raw'!$C:$C,"TraceGuide"))</f>
        <v/>
      </c>
    </row>
    <row r="30">
      <c r="A30">
        <f>IFERROR(INDEX(SORT(UNIQUE(FILTER('Raw Task Responses'!$B$2:$B$201,'Raw Task Responses'!$B$2:$B$201&lt;&gt;""))),ROW()-1),"")</f>
        <v/>
      </c>
      <c r="B30">
        <f>IF($A30="","",AVERAGEIFS('Raw Task Responses'!$P:$P,'Raw Task Responses'!$B:$B,$A30,'Raw Task Responses'!$D:$D,"Baseline"))</f>
        <v/>
      </c>
      <c r="C30">
        <f>IF($A30="","",AVERAGEIFS('Raw Task Responses'!$P:$P,'Raw Task Responses'!$B:$B,$A30,'Raw Task Responses'!$D:$D,"TraceGuide"))</f>
        <v/>
      </c>
      <c r="D30">
        <f>IF($A30="","",C30-B30)</f>
        <v/>
      </c>
      <c r="E30">
        <f>IF($A30="","",COUNTIFS('Raw Task Responses'!$B:$B,$A30,'Raw Task Responses'!$D:$D,"Baseline",'Raw Task Responses'!$P:$P,2))</f>
        <v/>
      </c>
      <c r="F30">
        <f>IF($A30="","",COUNTIFS('Raw Task Responses'!$B:$B,$A30,'Raw Task Responses'!$D:$D,"TraceGuide",'Raw Task Responses'!$P:$P,2))</f>
        <v/>
      </c>
      <c r="G30">
        <f>IF($A30="","",AVERAGEIFS('Raw Task Responses'!$R:$R,'Raw Task Responses'!$B:$B,$A30,'Raw Task Responses'!$D:$D,"Baseline"))</f>
        <v/>
      </c>
      <c r="H30">
        <f>IF($A30="","",AVERAGEIFS('Raw Task Responses'!$R:$R,'Raw Task Responses'!$B:$B,$A30,'Raw Task Responses'!$D:$D,"TraceGuide"))</f>
        <v/>
      </c>
      <c r="I30">
        <f>IF($A30="","",AVERAGEIFS('Post-test Raw'!$AB:$AB,'Post-test Raw'!$B:$B,$A30,'Post-test Raw'!$C:$C,"Baseline"))</f>
        <v/>
      </c>
      <c r="J30">
        <f>IF($A30="","",AVERAGEIFS('Post-test Raw'!$AB:$AB,'Post-test Raw'!$B:$B,$A30,'Post-test Raw'!$C:$C,"TraceGuide"))</f>
        <v/>
      </c>
      <c r="K30">
        <f>IF($A30="","",AVERAGEIFS('Post-test Raw'!$AC:$AC,'Post-test Raw'!$B:$B,$A30,'Post-test Raw'!$C:$C,"Baseline"))</f>
        <v/>
      </c>
      <c r="L30">
        <f>IF($A30="","",AVERAGEIFS('Post-test Raw'!$AC:$AC,'Post-test Raw'!$B:$B,$A30,'Post-test Raw'!$C:$C,"TraceGuide"))</f>
        <v/>
      </c>
      <c r="M30">
        <f>IF($A30="","",AVERAGEIFS('Post-test Raw'!$AD:$AD,'Post-test Raw'!$B:$B,$A30,'Post-test Raw'!$C:$C,"Baseline"))</f>
        <v/>
      </c>
      <c r="N30">
        <f>IF($A30="","",AVERAGEIFS('Post-test Raw'!$AD:$AD,'Post-test Raw'!$B:$B,$A30,'Post-test Raw'!$C:$C,"TraceGuide"))</f>
        <v/>
      </c>
      <c r="O30">
        <f>IF($A30="","",AVERAGEIFS('Post-test Raw'!$AE:$AE,'Post-test Raw'!$B:$B,$A30,'Post-test Raw'!$C:$C,"Baseline"))</f>
        <v/>
      </c>
      <c r="P30">
        <f>IF($A30="","",AVERAGEIFS('Post-test Raw'!$AE:$AE,'Post-test Raw'!$B:$B,$A30,'Post-test Raw'!$C:$C,"TraceGuide"))</f>
        <v/>
      </c>
    </row>
    <row r="31">
      <c r="A31">
        <f>IFERROR(INDEX(SORT(UNIQUE(FILTER('Raw Task Responses'!$B$2:$B$201,'Raw Task Responses'!$B$2:$B$201&lt;&gt;""))),ROW()-1),"")</f>
        <v/>
      </c>
      <c r="B31">
        <f>IF($A31="","",AVERAGEIFS('Raw Task Responses'!$P:$P,'Raw Task Responses'!$B:$B,$A31,'Raw Task Responses'!$D:$D,"Baseline"))</f>
        <v/>
      </c>
      <c r="C31">
        <f>IF($A31="","",AVERAGEIFS('Raw Task Responses'!$P:$P,'Raw Task Responses'!$B:$B,$A31,'Raw Task Responses'!$D:$D,"TraceGuide"))</f>
        <v/>
      </c>
      <c r="D31">
        <f>IF($A31="","",C31-B31)</f>
        <v/>
      </c>
      <c r="E31">
        <f>IF($A31="","",COUNTIFS('Raw Task Responses'!$B:$B,$A31,'Raw Task Responses'!$D:$D,"Baseline",'Raw Task Responses'!$P:$P,2))</f>
        <v/>
      </c>
      <c r="F31">
        <f>IF($A31="","",COUNTIFS('Raw Task Responses'!$B:$B,$A31,'Raw Task Responses'!$D:$D,"TraceGuide",'Raw Task Responses'!$P:$P,2))</f>
        <v/>
      </c>
      <c r="G31">
        <f>IF($A31="","",AVERAGEIFS('Raw Task Responses'!$R:$R,'Raw Task Responses'!$B:$B,$A31,'Raw Task Responses'!$D:$D,"Baseline"))</f>
        <v/>
      </c>
      <c r="H31">
        <f>IF($A31="","",AVERAGEIFS('Raw Task Responses'!$R:$R,'Raw Task Responses'!$B:$B,$A31,'Raw Task Responses'!$D:$D,"TraceGuide"))</f>
        <v/>
      </c>
      <c r="I31">
        <f>IF($A31="","",AVERAGEIFS('Post-test Raw'!$AB:$AB,'Post-test Raw'!$B:$B,$A31,'Post-test Raw'!$C:$C,"Baseline"))</f>
        <v/>
      </c>
      <c r="J31">
        <f>IF($A31="","",AVERAGEIFS('Post-test Raw'!$AB:$AB,'Post-test Raw'!$B:$B,$A31,'Post-test Raw'!$C:$C,"TraceGuide"))</f>
        <v/>
      </c>
      <c r="K31">
        <f>IF($A31="","",AVERAGEIFS('Post-test Raw'!$AC:$AC,'Post-test Raw'!$B:$B,$A31,'Post-test Raw'!$C:$C,"Baseline"))</f>
        <v/>
      </c>
      <c r="L31">
        <f>IF($A31="","",AVERAGEIFS('Post-test Raw'!$AC:$AC,'Post-test Raw'!$B:$B,$A31,'Post-test Raw'!$C:$C,"TraceGuide"))</f>
        <v/>
      </c>
      <c r="M31">
        <f>IF($A31="","",AVERAGEIFS('Post-test Raw'!$AD:$AD,'Post-test Raw'!$B:$B,$A31,'Post-test Raw'!$C:$C,"Baseline"))</f>
        <v/>
      </c>
      <c r="N31">
        <f>IF($A31="","",AVERAGEIFS('Post-test Raw'!$AD:$AD,'Post-test Raw'!$B:$B,$A31,'Post-test Raw'!$C:$C,"TraceGuide"))</f>
        <v/>
      </c>
      <c r="O31">
        <f>IF($A31="","",AVERAGEIFS('Post-test Raw'!$AE:$AE,'Post-test Raw'!$B:$B,$A31,'Post-test Raw'!$C:$C,"Baseline"))</f>
        <v/>
      </c>
      <c r="P31">
        <f>IF($A31="","",AVERAGEIFS('Post-test Raw'!$AE:$AE,'Post-test Raw'!$B:$B,$A31,'Post-test Raw'!$C:$C,"TraceGuide"))</f>
        <v/>
      </c>
    </row>
    <row r="32">
      <c r="A32">
        <f>IFERROR(INDEX(SORT(UNIQUE(FILTER('Raw Task Responses'!$B$2:$B$201,'Raw Task Responses'!$B$2:$B$201&lt;&gt;""))),ROW()-1),"")</f>
        <v/>
      </c>
      <c r="B32">
        <f>IF($A32="","",AVERAGEIFS('Raw Task Responses'!$P:$P,'Raw Task Responses'!$B:$B,$A32,'Raw Task Responses'!$D:$D,"Baseline"))</f>
        <v/>
      </c>
      <c r="C32">
        <f>IF($A32="","",AVERAGEIFS('Raw Task Responses'!$P:$P,'Raw Task Responses'!$B:$B,$A32,'Raw Task Responses'!$D:$D,"TraceGuide"))</f>
        <v/>
      </c>
      <c r="D32">
        <f>IF($A32="","",C32-B32)</f>
        <v/>
      </c>
      <c r="E32">
        <f>IF($A32="","",COUNTIFS('Raw Task Responses'!$B:$B,$A32,'Raw Task Responses'!$D:$D,"Baseline",'Raw Task Responses'!$P:$P,2))</f>
        <v/>
      </c>
      <c r="F32">
        <f>IF($A32="","",COUNTIFS('Raw Task Responses'!$B:$B,$A32,'Raw Task Responses'!$D:$D,"TraceGuide",'Raw Task Responses'!$P:$P,2))</f>
        <v/>
      </c>
      <c r="G32">
        <f>IF($A32="","",AVERAGEIFS('Raw Task Responses'!$R:$R,'Raw Task Responses'!$B:$B,$A32,'Raw Task Responses'!$D:$D,"Baseline"))</f>
        <v/>
      </c>
      <c r="H32">
        <f>IF($A32="","",AVERAGEIFS('Raw Task Responses'!$R:$R,'Raw Task Responses'!$B:$B,$A32,'Raw Task Responses'!$D:$D,"TraceGuide"))</f>
        <v/>
      </c>
      <c r="I32">
        <f>IF($A32="","",AVERAGEIFS('Post-test Raw'!$AB:$AB,'Post-test Raw'!$B:$B,$A32,'Post-test Raw'!$C:$C,"Baseline"))</f>
        <v/>
      </c>
      <c r="J32">
        <f>IF($A32="","",AVERAGEIFS('Post-test Raw'!$AB:$AB,'Post-test Raw'!$B:$B,$A32,'Post-test Raw'!$C:$C,"TraceGuide"))</f>
        <v/>
      </c>
      <c r="K32">
        <f>IF($A32="","",AVERAGEIFS('Post-test Raw'!$AC:$AC,'Post-test Raw'!$B:$B,$A32,'Post-test Raw'!$C:$C,"Baseline"))</f>
        <v/>
      </c>
      <c r="L32">
        <f>IF($A32="","",AVERAGEIFS('Post-test Raw'!$AC:$AC,'Post-test Raw'!$B:$B,$A32,'Post-test Raw'!$C:$C,"TraceGuide"))</f>
        <v/>
      </c>
      <c r="M32">
        <f>IF($A32="","",AVERAGEIFS('Post-test Raw'!$AD:$AD,'Post-test Raw'!$B:$B,$A32,'Post-test Raw'!$C:$C,"Baseline"))</f>
        <v/>
      </c>
      <c r="N32">
        <f>IF($A32="","",AVERAGEIFS('Post-test Raw'!$AD:$AD,'Post-test Raw'!$B:$B,$A32,'Post-test Raw'!$C:$C,"TraceGuide"))</f>
        <v/>
      </c>
      <c r="O32">
        <f>IF($A32="","",AVERAGEIFS('Post-test Raw'!$AE:$AE,'Post-test Raw'!$B:$B,$A32,'Post-test Raw'!$C:$C,"Baseline"))</f>
        <v/>
      </c>
      <c r="P32">
        <f>IF($A32="","",AVERAGEIFS('Post-test Raw'!$AE:$AE,'Post-test Raw'!$B:$B,$A32,'Post-test Raw'!$C:$C,"TraceGuide"))</f>
        <v/>
      </c>
    </row>
    <row r="33">
      <c r="A33">
        <f>IFERROR(INDEX(SORT(UNIQUE(FILTER('Raw Task Responses'!$B$2:$B$201,'Raw Task Responses'!$B$2:$B$201&lt;&gt;""))),ROW()-1),"")</f>
        <v/>
      </c>
      <c r="B33">
        <f>IF($A33="","",AVERAGEIFS('Raw Task Responses'!$P:$P,'Raw Task Responses'!$B:$B,$A33,'Raw Task Responses'!$D:$D,"Baseline"))</f>
        <v/>
      </c>
      <c r="C33">
        <f>IF($A33="","",AVERAGEIFS('Raw Task Responses'!$P:$P,'Raw Task Responses'!$B:$B,$A33,'Raw Task Responses'!$D:$D,"TraceGuide"))</f>
        <v/>
      </c>
      <c r="D33">
        <f>IF($A33="","",C33-B33)</f>
        <v/>
      </c>
      <c r="E33">
        <f>IF($A33="","",COUNTIFS('Raw Task Responses'!$B:$B,$A33,'Raw Task Responses'!$D:$D,"Baseline",'Raw Task Responses'!$P:$P,2))</f>
        <v/>
      </c>
      <c r="F33">
        <f>IF($A33="","",COUNTIFS('Raw Task Responses'!$B:$B,$A33,'Raw Task Responses'!$D:$D,"TraceGuide",'Raw Task Responses'!$P:$P,2))</f>
        <v/>
      </c>
      <c r="G33">
        <f>IF($A33="","",AVERAGEIFS('Raw Task Responses'!$R:$R,'Raw Task Responses'!$B:$B,$A33,'Raw Task Responses'!$D:$D,"Baseline"))</f>
        <v/>
      </c>
      <c r="H33">
        <f>IF($A33="","",AVERAGEIFS('Raw Task Responses'!$R:$R,'Raw Task Responses'!$B:$B,$A33,'Raw Task Responses'!$D:$D,"TraceGuide"))</f>
        <v/>
      </c>
      <c r="I33">
        <f>IF($A33="","",AVERAGEIFS('Post-test Raw'!$AB:$AB,'Post-test Raw'!$B:$B,$A33,'Post-test Raw'!$C:$C,"Baseline"))</f>
        <v/>
      </c>
      <c r="J33">
        <f>IF($A33="","",AVERAGEIFS('Post-test Raw'!$AB:$AB,'Post-test Raw'!$B:$B,$A33,'Post-test Raw'!$C:$C,"TraceGuide"))</f>
        <v/>
      </c>
      <c r="K33">
        <f>IF($A33="","",AVERAGEIFS('Post-test Raw'!$AC:$AC,'Post-test Raw'!$B:$B,$A33,'Post-test Raw'!$C:$C,"Baseline"))</f>
        <v/>
      </c>
      <c r="L33">
        <f>IF($A33="","",AVERAGEIFS('Post-test Raw'!$AC:$AC,'Post-test Raw'!$B:$B,$A33,'Post-test Raw'!$C:$C,"TraceGuide"))</f>
        <v/>
      </c>
      <c r="M33">
        <f>IF($A33="","",AVERAGEIFS('Post-test Raw'!$AD:$AD,'Post-test Raw'!$B:$B,$A33,'Post-test Raw'!$C:$C,"Baseline"))</f>
        <v/>
      </c>
      <c r="N33">
        <f>IF($A33="","",AVERAGEIFS('Post-test Raw'!$AD:$AD,'Post-test Raw'!$B:$B,$A33,'Post-test Raw'!$C:$C,"TraceGuide"))</f>
        <v/>
      </c>
      <c r="O33">
        <f>IF($A33="","",AVERAGEIFS('Post-test Raw'!$AE:$AE,'Post-test Raw'!$B:$B,$A33,'Post-test Raw'!$C:$C,"Baseline"))</f>
        <v/>
      </c>
      <c r="P33">
        <f>IF($A33="","",AVERAGEIFS('Post-test Raw'!$AE:$AE,'Post-test Raw'!$B:$B,$A33,'Post-test Raw'!$C:$C,"TraceGuide"))</f>
        <v/>
      </c>
    </row>
    <row r="34">
      <c r="A34">
        <f>IFERROR(INDEX(SORT(UNIQUE(FILTER('Raw Task Responses'!$B$2:$B$201,'Raw Task Responses'!$B$2:$B$201&lt;&gt;""))),ROW()-1),"")</f>
        <v/>
      </c>
      <c r="B34">
        <f>IF($A34="","",AVERAGEIFS('Raw Task Responses'!$P:$P,'Raw Task Responses'!$B:$B,$A34,'Raw Task Responses'!$D:$D,"Baseline"))</f>
        <v/>
      </c>
      <c r="C34">
        <f>IF($A34="","",AVERAGEIFS('Raw Task Responses'!$P:$P,'Raw Task Responses'!$B:$B,$A34,'Raw Task Responses'!$D:$D,"TraceGuide"))</f>
        <v/>
      </c>
      <c r="D34">
        <f>IF($A34="","",C34-B34)</f>
        <v/>
      </c>
      <c r="E34">
        <f>IF($A34="","",COUNTIFS('Raw Task Responses'!$B:$B,$A34,'Raw Task Responses'!$D:$D,"Baseline",'Raw Task Responses'!$P:$P,2))</f>
        <v/>
      </c>
      <c r="F34">
        <f>IF($A34="","",COUNTIFS('Raw Task Responses'!$B:$B,$A34,'Raw Task Responses'!$D:$D,"TraceGuide",'Raw Task Responses'!$P:$P,2))</f>
        <v/>
      </c>
      <c r="G34">
        <f>IF($A34="","",AVERAGEIFS('Raw Task Responses'!$R:$R,'Raw Task Responses'!$B:$B,$A34,'Raw Task Responses'!$D:$D,"Baseline"))</f>
        <v/>
      </c>
      <c r="H34">
        <f>IF($A34="","",AVERAGEIFS('Raw Task Responses'!$R:$R,'Raw Task Responses'!$B:$B,$A34,'Raw Task Responses'!$D:$D,"TraceGuide"))</f>
        <v/>
      </c>
      <c r="I34">
        <f>IF($A34="","",AVERAGEIFS('Post-test Raw'!$AB:$AB,'Post-test Raw'!$B:$B,$A34,'Post-test Raw'!$C:$C,"Baseline"))</f>
        <v/>
      </c>
      <c r="J34">
        <f>IF($A34="","",AVERAGEIFS('Post-test Raw'!$AB:$AB,'Post-test Raw'!$B:$B,$A34,'Post-test Raw'!$C:$C,"TraceGuide"))</f>
        <v/>
      </c>
      <c r="K34">
        <f>IF($A34="","",AVERAGEIFS('Post-test Raw'!$AC:$AC,'Post-test Raw'!$B:$B,$A34,'Post-test Raw'!$C:$C,"Baseline"))</f>
        <v/>
      </c>
      <c r="L34">
        <f>IF($A34="","",AVERAGEIFS('Post-test Raw'!$AC:$AC,'Post-test Raw'!$B:$B,$A34,'Post-test Raw'!$C:$C,"TraceGuide"))</f>
        <v/>
      </c>
      <c r="M34">
        <f>IF($A34="","",AVERAGEIFS('Post-test Raw'!$AD:$AD,'Post-test Raw'!$B:$B,$A34,'Post-test Raw'!$C:$C,"Baseline"))</f>
        <v/>
      </c>
      <c r="N34">
        <f>IF($A34="","",AVERAGEIFS('Post-test Raw'!$AD:$AD,'Post-test Raw'!$B:$B,$A34,'Post-test Raw'!$C:$C,"TraceGuide"))</f>
        <v/>
      </c>
      <c r="O34">
        <f>IF($A34="","",AVERAGEIFS('Post-test Raw'!$AE:$AE,'Post-test Raw'!$B:$B,$A34,'Post-test Raw'!$C:$C,"Baseline"))</f>
        <v/>
      </c>
      <c r="P34">
        <f>IF($A34="","",AVERAGEIFS('Post-test Raw'!$AE:$AE,'Post-test Raw'!$B:$B,$A34,'Post-test Raw'!$C:$C,"TraceGuide"))</f>
        <v/>
      </c>
    </row>
    <row r="35">
      <c r="A35">
        <f>IFERROR(INDEX(SORT(UNIQUE(FILTER('Raw Task Responses'!$B$2:$B$201,'Raw Task Responses'!$B$2:$B$201&lt;&gt;""))),ROW()-1),"")</f>
        <v/>
      </c>
      <c r="B35">
        <f>IF($A35="","",AVERAGEIFS('Raw Task Responses'!$P:$P,'Raw Task Responses'!$B:$B,$A35,'Raw Task Responses'!$D:$D,"Baseline"))</f>
        <v/>
      </c>
      <c r="C35">
        <f>IF($A35="","",AVERAGEIFS('Raw Task Responses'!$P:$P,'Raw Task Responses'!$B:$B,$A35,'Raw Task Responses'!$D:$D,"TraceGuide"))</f>
        <v/>
      </c>
      <c r="D35">
        <f>IF($A35="","",C35-B35)</f>
        <v/>
      </c>
      <c r="E35">
        <f>IF($A35="","",COUNTIFS('Raw Task Responses'!$B:$B,$A35,'Raw Task Responses'!$D:$D,"Baseline",'Raw Task Responses'!$P:$P,2))</f>
        <v/>
      </c>
      <c r="F35">
        <f>IF($A35="","",COUNTIFS('Raw Task Responses'!$B:$B,$A35,'Raw Task Responses'!$D:$D,"TraceGuide",'Raw Task Responses'!$P:$P,2))</f>
        <v/>
      </c>
      <c r="G35">
        <f>IF($A35="","",AVERAGEIFS('Raw Task Responses'!$R:$R,'Raw Task Responses'!$B:$B,$A35,'Raw Task Responses'!$D:$D,"Baseline"))</f>
        <v/>
      </c>
      <c r="H35">
        <f>IF($A35="","",AVERAGEIFS('Raw Task Responses'!$R:$R,'Raw Task Responses'!$B:$B,$A35,'Raw Task Responses'!$D:$D,"TraceGuide"))</f>
        <v/>
      </c>
      <c r="I35">
        <f>IF($A35="","",AVERAGEIFS('Post-test Raw'!$AB:$AB,'Post-test Raw'!$B:$B,$A35,'Post-test Raw'!$C:$C,"Baseline"))</f>
        <v/>
      </c>
      <c r="J35">
        <f>IF($A35="","",AVERAGEIFS('Post-test Raw'!$AB:$AB,'Post-test Raw'!$B:$B,$A35,'Post-test Raw'!$C:$C,"TraceGuide"))</f>
        <v/>
      </c>
      <c r="K35">
        <f>IF($A35="","",AVERAGEIFS('Post-test Raw'!$AC:$AC,'Post-test Raw'!$B:$B,$A35,'Post-test Raw'!$C:$C,"Baseline"))</f>
        <v/>
      </c>
      <c r="L35">
        <f>IF($A35="","",AVERAGEIFS('Post-test Raw'!$AC:$AC,'Post-test Raw'!$B:$B,$A35,'Post-test Raw'!$C:$C,"TraceGuide"))</f>
        <v/>
      </c>
      <c r="M35">
        <f>IF($A35="","",AVERAGEIFS('Post-test Raw'!$AD:$AD,'Post-test Raw'!$B:$B,$A35,'Post-test Raw'!$C:$C,"Baseline"))</f>
        <v/>
      </c>
      <c r="N35">
        <f>IF($A35="","",AVERAGEIFS('Post-test Raw'!$AD:$AD,'Post-test Raw'!$B:$B,$A35,'Post-test Raw'!$C:$C,"TraceGuide"))</f>
        <v/>
      </c>
      <c r="O35">
        <f>IF($A35="","",AVERAGEIFS('Post-test Raw'!$AE:$AE,'Post-test Raw'!$B:$B,$A35,'Post-test Raw'!$C:$C,"Baseline"))</f>
        <v/>
      </c>
      <c r="P35">
        <f>IF($A35="","",AVERAGEIFS('Post-test Raw'!$AE:$AE,'Post-test Raw'!$B:$B,$A35,'Post-test Raw'!$C:$C,"TraceGuide"))</f>
        <v/>
      </c>
    </row>
    <row r="36">
      <c r="A36">
        <f>IFERROR(INDEX(SORT(UNIQUE(FILTER('Raw Task Responses'!$B$2:$B$201,'Raw Task Responses'!$B$2:$B$201&lt;&gt;""))),ROW()-1),"")</f>
        <v/>
      </c>
      <c r="B36">
        <f>IF($A36="","",AVERAGEIFS('Raw Task Responses'!$P:$P,'Raw Task Responses'!$B:$B,$A36,'Raw Task Responses'!$D:$D,"Baseline"))</f>
        <v/>
      </c>
      <c r="C36">
        <f>IF($A36="","",AVERAGEIFS('Raw Task Responses'!$P:$P,'Raw Task Responses'!$B:$B,$A36,'Raw Task Responses'!$D:$D,"TraceGuide"))</f>
        <v/>
      </c>
      <c r="D36">
        <f>IF($A36="","",C36-B36)</f>
        <v/>
      </c>
      <c r="E36">
        <f>IF($A36="","",COUNTIFS('Raw Task Responses'!$B:$B,$A36,'Raw Task Responses'!$D:$D,"Baseline",'Raw Task Responses'!$P:$P,2))</f>
        <v/>
      </c>
      <c r="F36">
        <f>IF($A36="","",COUNTIFS('Raw Task Responses'!$B:$B,$A36,'Raw Task Responses'!$D:$D,"TraceGuide",'Raw Task Responses'!$P:$P,2))</f>
        <v/>
      </c>
      <c r="G36">
        <f>IF($A36="","",AVERAGEIFS('Raw Task Responses'!$R:$R,'Raw Task Responses'!$B:$B,$A36,'Raw Task Responses'!$D:$D,"Baseline"))</f>
        <v/>
      </c>
      <c r="H36">
        <f>IF($A36="","",AVERAGEIFS('Raw Task Responses'!$R:$R,'Raw Task Responses'!$B:$B,$A36,'Raw Task Responses'!$D:$D,"TraceGuide"))</f>
        <v/>
      </c>
      <c r="I36">
        <f>IF($A36="","",AVERAGEIFS('Post-test Raw'!$AB:$AB,'Post-test Raw'!$B:$B,$A36,'Post-test Raw'!$C:$C,"Baseline"))</f>
        <v/>
      </c>
      <c r="J36">
        <f>IF($A36="","",AVERAGEIFS('Post-test Raw'!$AB:$AB,'Post-test Raw'!$B:$B,$A36,'Post-test Raw'!$C:$C,"TraceGuide"))</f>
        <v/>
      </c>
      <c r="K36">
        <f>IF($A36="","",AVERAGEIFS('Post-test Raw'!$AC:$AC,'Post-test Raw'!$B:$B,$A36,'Post-test Raw'!$C:$C,"Baseline"))</f>
        <v/>
      </c>
      <c r="L36">
        <f>IF($A36="","",AVERAGEIFS('Post-test Raw'!$AC:$AC,'Post-test Raw'!$B:$B,$A36,'Post-test Raw'!$C:$C,"TraceGuide"))</f>
        <v/>
      </c>
      <c r="M36">
        <f>IF($A36="","",AVERAGEIFS('Post-test Raw'!$AD:$AD,'Post-test Raw'!$B:$B,$A36,'Post-test Raw'!$C:$C,"Baseline"))</f>
        <v/>
      </c>
      <c r="N36">
        <f>IF($A36="","",AVERAGEIFS('Post-test Raw'!$AD:$AD,'Post-test Raw'!$B:$B,$A36,'Post-test Raw'!$C:$C,"TraceGuide"))</f>
        <v/>
      </c>
      <c r="O36">
        <f>IF($A36="","",AVERAGEIFS('Post-test Raw'!$AE:$AE,'Post-test Raw'!$B:$B,$A36,'Post-test Raw'!$C:$C,"Baseline"))</f>
        <v/>
      </c>
      <c r="P36">
        <f>IF($A36="","",AVERAGEIFS('Post-test Raw'!$AE:$AE,'Post-test Raw'!$B:$B,$A36,'Post-test Raw'!$C:$C,"TraceGuide"))</f>
        <v/>
      </c>
    </row>
    <row r="37">
      <c r="A37">
        <f>IFERROR(INDEX(SORT(UNIQUE(FILTER('Raw Task Responses'!$B$2:$B$201,'Raw Task Responses'!$B$2:$B$201&lt;&gt;""))),ROW()-1),"")</f>
        <v/>
      </c>
      <c r="B37">
        <f>IF($A37="","",AVERAGEIFS('Raw Task Responses'!$P:$P,'Raw Task Responses'!$B:$B,$A37,'Raw Task Responses'!$D:$D,"Baseline"))</f>
        <v/>
      </c>
      <c r="C37">
        <f>IF($A37="","",AVERAGEIFS('Raw Task Responses'!$P:$P,'Raw Task Responses'!$B:$B,$A37,'Raw Task Responses'!$D:$D,"TraceGuide"))</f>
        <v/>
      </c>
      <c r="D37">
        <f>IF($A37="","",C37-B37)</f>
        <v/>
      </c>
      <c r="E37">
        <f>IF($A37="","",COUNTIFS('Raw Task Responses'!$B:$B,$A37,'Raw Task Responses'!$D:$D,"Baseline",'Raw Task Responses'!$P:$P,2))</f>
        <v/>
      </c>
      <c r="F37">
        <f>IF($A37="","",COUNTIFS('Raw Task Responses'!$B:$B,$A37,'Raw Task Responses'!$D:$D,"TraceGuide",'Raw Task Responses'!$P:$P,2))</f>
        <v/>
      </c>
      <c r="G37">
        <f>IF($A37="","",AVERAGEIFS('Raw Task Responses'!$R:$R,'Raw Task Responses'!$B:$B,$A37,'Raw Task Responses'!$D:$D,"Baseline"))</f>
        <v/>
      </c>
      <c r="H37">
        <f>IF($A37="","",AVERAGEIFS('Raw Task Responses'!$R:$R,'Raw Task Responses'!$B:$B,$A37,'Raw Task Responses'!$D:$D,"TraceGuide"))</f>
        <v/>
      </c>
      <c r="I37">
        <f>IF($A37="","",AVERAGEIFS('Post-test Raw'!$AB:$AB,'Post-test Raw'!$B:$B,$A37,'Post-test Raw'!$C:$C,"Baseline"))</f>
        <v/>
      </c>
      <c r="J37">
        <f>IF($A37="","",AVERAGEIFS('Post-test Raw'!$AB:$AB,'Post-test Raw'!$B:$B,$A37,'Post-test Raw'!$C:$C,"TraceGuide"))</f>
        <v/>
      </c>
      <c r="K37">
        <f>IF($A37="","",AVERAGEIFS('Post-test Raw'!$AC:$AC,'Post-test Raw'!$B:$B,$A37,'Post-test Raw'!$C:$C,"Baseline"))</f>
        <v/>
      </c>
      <c r="L37">
        <f>IF($A37="","",AVERAGEIFS('Post-test Raw'!$AC:$AC,'Post-test Raw'!$B:$B,$A37,'Post-test Raw'!$C:$C,"TraceGuide"))</f>
        <v/>
      </c>
      <c r="M37">
        <f>IF($A37="","",AVERAGEIFS('Post-test Raw'!$AD:$AD,'Post-test Raw'!$B:$B,$A37,'Post-test Raw'!$C:$C,"Baseline"))</f>
        <v/>
      </c>
      <c r="N37">
        <f>IF($A37="","",AVERAGEIFS('Post-test Raw'!$AD:$AD,'Post-test Raw'!$B:$B,$A37,'Post-test Raw'!$C:$C,"TraceGuide"))</f>
        <v/>
      </c>
      <c r="O37">
        <f>IF($A37="","",AVERAGEIFS('Post-test Raw'!$AE:$AE,'Post-test Raw'!$B:$B,$A37,'Post-test Raw'!$C:$C,"Baseline"))</f>
        <v/>
      </c>
      <c r="P37">
        <f>IF($A37="","",AVERAGEIFS('Post-test Raw'!$AE:$AE,'Post-test Raw'!$B:$B,$A37,'Post-test Raw'!$C:$C,"TraceGuide"))</f>
        <v/>
      </c>
    </row>
    <row r="38">
      <c r="A38">
        <f>IFERROR(INDEX(SORT(UNIQUE(FILTER('Raw Task Responses'!$B$2:$B$201,'Raw Task Responses'!$B$2:$B$201&lt;&gt;""))),ROW()-1),"")</f>
        <v/>
      </c>
      <c r="B38">
        <f>IF($A38="","",AVERAGEIFS('Raw Task Responses'!$P:$P,'Raw Task Responses'!$B:$B,$A38,'Raw Task Responses'!$D:$D,"Baseline"))</f>
        <v/>
      </c>
      <c r="C38">
        <f>IF($A38="","",AVERAGEIFS('Raw Task Responses'!$P:$P,'Raw Task Responses'!$B:$B,$A38,'Raw Task Responses'!$D:$D,"TraceGuide"))</f>
        <v/>
      </c>
      <c r="D38">
        <f>IF($A38="","",C38-B38)</f>
        <v/>
      </c>
      <c r="E38">
        <f>IF($A38="","",COUNTIFS('Raw Task Responses'!$B:$B,$A38,'Raw Task Responses'!$D:$D,"Baseline",'Raw Task Responses'!$P:$P,2))</f>
        <v/>
      </c>
      <c r="F38">
        <f>IF($A38="","",COUNTIFS('Raw Task Responses'!$B:$B,$A38,'Raw Task Responses'!$D:$D,"TraceGuide",'Raw Task Responses'!$P:$P,2))</f>
        <v/>
      </c>
      <c r="G38">
        <f>IF($A38="","",AVERAGEIFS('Raw Task Responses'!$R:$R,'Raw Task Responses'!$B:$B,$A38,'Raw Task Responses'!$D:$D,"Baseline"))</f>
        <v/>
      </c>
      <c r="H38">
        <f>IF($A38="","",AVERAGEIFS('Raw Task Responses'!$R:$R,'Raw Task Responses'!$B:$B,$A38,'Raw Task Responses'!$D:$D,"TraceGuide"))</f>
        <v/>
      </c>
      <c r="I38">
        <f>IF($A38="","",AVERAGEIFS('Post-test Raw'!$AB:$AB,'Post-test Raw'!$B:$B,$A38,'Post-test Raw'!$C:$C,"Baseline"))</f>
        <v/>
      </c>
      <c r="J38">
        <f>IF($A38="","",AVERAGEIFS('Post-test Raw'!$AB:$AB,'Post-test Raw'!$B:$B,$A38,'Post-test Raw'!$C:$C,"TraceGuide"))</f>
        <v/>
      </c>
      <c r="K38">
        <f>IF($A38="","",AVERAGEIFS('Post-test Raw'!$AC:$AC,'Post-test Raw'!$B:$B,$A38,'Post-test Raw'!$C:$C,"Baseline"))</f>
        <v/>
      </c>
      <c r="L38">
        <f>IF($A38="","",AVERAGEIFS('Post-test Raw'!$AC:$AC,'Post-test Raw'!$B:$B,$A38,'Post-test Raw'!$C:$C,"TraceGuide"))</f>
        <v/>
      </c>
      <c r="M38">
        <f>IF($A38="","",AVERAGEIFS('Post-test Raw'!$AD:$AD,'Post-test Raw'!$B:$B,$A38,'Post-test Raw'!$C:$C,"Baseline"))</f>
        <v/>
      </c>
      <c r="N38">
        <f>IF($A38="","",AVERAGEIFS('Post-test Raw'!$AD:$AD,'Post-test Raw'!$B:$B,$A38,'Post-test Raw'!$C:$C,"TraceGuide"))</f>
        <v/>
      </c>
      <c r="O38">
        <f>IF($A38="","",AVERAGEIFS('Post-test Raw'!$AE:$AE,'Post-test Raw'!$B:$B,$A38,'Post-test Raw'!$C:$C,"Baseline"))</f>
        <v/>
      </c>
      <c r="P38">
        <f>IF($A38="","",AVERAGEIFS('Post-test Raw'!$AE:$AE,'Post-test Raw'!$B:$B,$A38,'Post-test Raw'!$C:$C,"TraceGuide"))</f>
        <v/>
      </c>
    </row>
    <row r="39">
      <c r="A39">
        <f>IFERROR(INDEX(SORT(UNIQUE(FILTER('Raw Task Responses'!$B$2:$B$201,'Raw Task Responses'!$B$2:$B$201&lt;&gt;""))),ROW()-1),"")</f>
        <v/>
      </c>
      <c r="B39">
        <f>IF($A39="","",AVERAGEIFS('Raw Task Responses'!$P:$P,'Raw Task Responses'!$B:$B,$A39,'Raw Task Responses'!$D:$D,"Baseline"))</f>
        <v/>
      </c>
      <c r="C39">
        <f>IF($A39="","",AVERAGEIFS('Raw Task Responses'!$P:$P,'Raw Task Responses'!$B:$B,$A39,'Raw Task Responses'!$D:$D,"TraceGuide"))</f>
        <v/>
      </c>
      <c r="D39">
        <f>IF($A39="","",C39-B39)</f>
        <v/>
      </c>
      <c r="E39">
        <f>IF($A39="","",COUNTIFS('Raw Task Responses'!$B:$B,$A39,'Raw Task Responses'!$D:$D,"Baseline",'Raw Task Responses'!$P:$P,2))</f>
        <v/>
      </c>
      <c r="F39">
        <f>IF($A39="","",COUNTIFS('Raw Task Responses'!$B:$B,$A39,'Raw Task Responses'!$D:$D,"TraceGuide",'Raw Task Responses'!$P:$P,2))</f>
        <v/>
      </c>
      <c r="G39">
        <f>IF($A39="","",AVERAGEIFS('Raw Task Responses'!$R:$R,'Raw Task Responses'!$B:$B,$A39,'Raw Task Responses'!$D:$D,"Baseline"))</f>
        <v/>
      </c>
      <c r="H39">
        <f>IF($A39="","",AVERAGEIFS('Raw Task Responses'!$R:$R,'Raw Task Responses'!$B:$B,$A39,'Raw Task Responses'!$D:$D,"TraceGuide"))</f>
        <v/>
      </c>
      <c r="I39">
        <f>IF($A39="","",AVERAGEIFS('Post-test Raw'!$AB:$AB,'Post-test Raw'!$B:$B,$A39,'Post-test Raw'!$C:$C,"Baseline"))</f>
        <v/>
      </c>
      <c r="J39">
        <f>IF($A39="","",AVERAGEIFS('Post-test Raw'!$AB:$AB,'Post-test Raw'!$B:$B,$A39,'Post-test Raw'!$C:$C,"TraceGuide"))</f>
        <v/>
      </c>
      <c r="K39">
        <f>IF($A39="","",AVERAGEIFS('Post-test Raw'!$AC:$AC,'Post-test Raw'!$B:$B,$A39,'Post-test Raw'!$C:$C,"Baseline"))</f>
        <v/>
      </c>
      <c r="L39">
        <f>IF($A39="","",AVERAGEIFS('Post-test Raw'!$AC:$AC,'Post-test Raw'!$B:$B,$A39,'Post-test Raw'!$C:$C,"TraceGuide"))</f>
        <v/>
      </c>
      <c r="M39">
        <f>IF($A39="","",AVERAGEIFS('Post-test Raw'!$AD:$AD,'Post-test Raw'!$B:$B,$A39,'Post-test Raw'!$C:$C,"Baseline"))</f>
        <v/>
      </c>
      <c r="N39">
        <f>IF($A39="","",AVERAGEIFS('Post-test Raw'!$AD:$AD,'Post-test Raw'!$B:$B,$A39,'Post-test Raw'!$C:$C,"TraceGuide"))</f>
        <v/>
      </c>
      <c r="O39">
        <f>IF($A39="","",AVERAGEIFS('Post-test Raw'!$AE:$AE,'Post-test Raw'!$B:$B,$A39,'Post-test Raw'!$C:$C,"Baseline"))</f>
        <v/>
      </c>
      <c r="P39">
        <f>IF($A39="","",AVERAGEIFS('Post-test Raw'!$AE:$AE,'Post-test Raw'!$B:$B,$A39,'Post-test Raw'!$C:$C,"TraceGuide"))</f>
        <v/>
      </c>
    </row>
    <row r="40">
      <c r="A40">
        <f>IFERROR(INDEX(SORT(UNIQUE(FILTER('Raw Task Responses'!$B$2:$B$201,'Raw Task Responses'!$B$2:$B$201&lt;&gt;""))),ROW()-1),"")</f>
        <v/>
      </c>
      <c r="B40">
        <f>IF($A40="","",AVERAGEIFS('Raw Task Responses'!$P:$P,'Raw Task Responses'!$B:$B,$A40,'Raw Task Responses'!$D:$D,"Baseline"))</f>
        <v/>
      </c>
      <c r="C40">
        <f>IF($A40="","",AVERAGEIFS('Raw Task Responses'!$P:$P,'Raw Task Responses'!$B:$B,$A40,'Raw Task Responses'!$D:$D,"TraceGuide"))</f>
        <v/>
      </c>
      <c r="D40">
        <f>IF($A40="","",C40-B40)</f>
        <v/>
      </c>
      <c r="E40">
        <f>IF($A40="","",COUNTIFS('Raw Task Responses'!$B:$B,$A40,'Raw Task Responses'!$D:$D,"Baseline",'Raw Task Responses'!$P:$P,2))</f>
        <v/>
      </c>
      <c r="F40">
        <f>IF($A40="","",COUNTIFS('Raw Task Responses'!$B:$B,$A40,'Raw Task Responses'!$D:$D,"TraceGuide",'Raw Task Responses'!$P:$P,2))</f>
        <v/>
      </c>
      <c r="G40">
        <f>IF($A40="","",AVERAGEIFS('Raw Task Responses'!$R:$R,'Raw Task Responses'!$B:$B,$A40,'Raw Task Responses'!$D:$D,"Baseline"))</f>
        <v/>
      </c>
      <c r="H40">
        <f>IF($A40="","",AVERAGEIFS('Raw Task Responses'!$R:$R,'Raw Task Responses'!$B:$B,$A40,'Raw Task Responses'!$D:$D,"TraceGuide"))</f>
        <v/>
      </c>
      <c r="I40">
        <f>IF($A40="","",AVERAGEIFS('Post-test Raw'!$AB:$AB,'Post-test Raw'!$B:$B,$A40,'Post-test Raw'!$C:$C,"Baseline"))</f>
        <v/>
      </c>
      <c r="J40">
        <f>IF($A40="","",AVERAGEIFS('Post-test Raw'!$AB:$AB,'Post-test Raw'!$B:$B,$A40,'Post-test Raw'!$C:$C,"TraceGuide"))</f>
        <v/>
      </c>
      <c r="K40">
        <f>IF($A40="","",AVERAGEIFS('Post-test Raw'!$AC:$AC,'Post-test Raw'!$B:$B,$A40,'Post-test Raw'!$C:$C,"Baseline"))</f>
        <v/>
      </c>
      <c r="L40">
        <f>IF($A40="","",AVERAGEIFS('Post-test Raw'!$AC:$AC,'Post-test Raw'!$B:$B,$A40,'Post-test Raw'!$C:$C,"TraceGuide"))</f>
        <v/>
      </c>
      <c r="M40">
        <f>IF($A40="","",AVERAGEIFS('Post-test Raw'!$AD:$AD,'Post-test Raw'!$B:$B,$A40,'Post-test Raw'!$C:$C,"Baseline"))</f>
        <v/>
      </c>
      <c r="N40">
        <f>IF($A40="","",AVERAGEIFS('Post-test Raw'!$AD:$AD,'Post-test Raw'!$B:$B,$A40,'Post-test Raw'!$C:$C,"TraceGuide"))</f>
        <v/>
      </c>
      <c r="O40">
        <f>IF($A40="","",AVERAGEIFS('Post-test Raw'!$AE:$AE,'Post-test Raw'!$B:$B,$A40,'Post-test Raw'!$C:$C,"Baseline"))</f>
        <v/>
      </c>
      <c r="P40">
        <f>IF($A40="","",AVERAGEIFS('Post-test Raw'!$AE:$AE,'Post-test Raw'!$B:$B,$A40,'Post-test Raw'!$C:$C,"TraceGuide"))</f>
        <v/>
      </c>
    </row>
    <row r="41">
      <c r="A41">
        <f>IFERROR(INDEX(SORT(UNIQUE(FILTER('Raw Task Responses'!$B$2:$B$201,'Raw Task Responses'!$B$2:$B$201&lt;&gt;""))),ROW()-1),"")</f>
        <v/>
      </c>
      <c r="B41">
        <f>IF($A41="","",AVERAGEIFS('Raw Task Responses'!$P:$P,'Raw Task Responses'!$B:$B,$A41,'Raw Task Responses'!$D:$D,"Baseline"))</f>
        <v/>
      </c>
      <c r="C41">
        <f>IF($A41="","",AVERAGEIFS('Raw Task Responses'!$P:$P,'Raw Task Responses'!$B:$B,$A41,'Raw Task Responses'!$D:$D,"TraceGuide"))</f>
        <v/>
      </c>
      <c r="D41">
        <f>IF($A41="","",C41-B41)</f>
        <v/>
      </c>
      <c r="E41">
        <f>IF($A41="","",COUNTIFS('Raw Task Responses'!$B:$B,$A41,'Raw Task Responses'!$D:$D,"Baseline",'Raw Task Responses'!$P:$P,2))</f>
        <v/>
      </c>
      <c r="F41">
        <f>IF($A41="","",COUNTIFS('Raw Task Responses'!$B:$B,$A41,'Raw Task Responses'!$D:$D,"TraceGuide",'Raw Task Responses'!$P:$P,2))</f>
        <v/>
      </c>
      <c r="G41">
        <f>IF($A41="","",AVERAGEIFS('Raw Task Responses'!$R:$R,'Raw Task Responses'!$B:$B,$A41,'Raw Task Responses'!$D:$D,"Baseline"))</f>
        <v/>
      </c>
      <c r="H41">
        <f>IF($A41="","",AVERAGEIFS('Raw Task Responses'!$R:$R,'Raw Task Responses'!$B:$B,$A41,'Raw Task Responses'!$D:$D,"TraceGuide"))</f>
        <v/>
      </c>
      <c r="I41">
        <f>IF($A41="","",AVERAGEIFS('Post-test Raw'!$AB:$AB,'Post-test Raw'!$B:$B,$A41,'Post-test Raw'!$C:$C,"Baseline"))</f>
        <v/>
      </c>
      <c r="J41">
        <f>IF($A41="","",AVERAGEIFS('Post-test Raw'!$AB:$AB,'Post-test Raw'!$B:$B,$A41,'Post-test Raw'!$C:$C,"TraceGuide"))</f>
        <v/>
      </c>
      <c r="K41">
        <f>IF($A41="","",AVERAGEIFS('Post-test Raw'!$AC:$AC,'Post-test Raw'!$B:$B,$A41,'Post-test Raw'!$C:$C,"Baseline"))</f>
        <v/>
      </c>
      <c r="L41">
        <f>IF($A41="","",AVERAGEIFS('Post-test Raw'!$AC:$AC,'Post-test Raw'!$B:$B,$A41,'Post-test Raw'!$C:$C,"TraceGuide"))</f>
        <v/>
      </c>
      <c r="M41">
        <f>IF($A41="","",AVERAGEIFS('Post-test Raw'!$AD:$AD,'Post-test Raw'!$B:$B,$A41,'Post-test Raw'!$C:$C,"Baseline"))</f>
        <v/>
      </c>
      <c r="N41">
        <f>IF($A41="","",AVERAGEIFS('Post-test Raw'!$AD:$AD,'Post-test Raw'!$B:$B,$A41,'Post-test Raw'!$C:$C,"TraceGuide"))</f>
        <v/>
      </c>
      <c r="O41">
        <f>IF($A41="","",AVERAGEIFS('Post-test Raw'!$AE:$AE,'Post-test Raw'!$B:$B,$A41,'Post-test Raw'!$C:$C,"Baseline"))</f>
        <v/>
      </c>
      <c r="P41">
        <f>IF($A41="","",AVERAGEIFS('Post-test Raw'!$AE:$AE,'Post-test Raw'!$B:$B,$A41,'Post-test Raw'!$C:$C,"TraceGuide"))</f>
        <v/>
      </c>
    </row>
    <row r="42">
      <c r="A42">
        <f>IFERROR(INDEX(SORT(UNIQUE(FILTER('Raw Task Responses'!$B$2:$B$201,'Raw Task Responses'!$B$2:$B$201&lt;&gt;""))),ROW()-1),"")</f>
        <v/>
      </c>
      <c r="B42">
        <f>IF($A42="","",AVERAGEIFS('Raw Task Responses'!$P:$P,'Raw Task Responses'!$B:$B,$A42,'Raw Task Responses'!$D:$D,"Baseline"))</f>
        <v/>
      </c>
      <c r="C42">
        <f>IF($A42="","",AVERAGEIFS('Raw Task Responses'!$P:$P,'Raw Task Responses'!$B:$B,$A42,'Raw Task Responses'!$D:$D,"TraceGuide"))</f>
        <v/>
      </c>
      <c r="D42">
        <f>IF($A42="","",C42-B42)</f>
        <v/>
      </c>
      <c r="E42">
        <f>IF($A42="","",COUNTIFS('Raw Task Responses'!$B:$B,$A42,'Raw Task Responses'!$D:$D,"Baseline",'Raw Task Responses'!$P:$P,2))</f>
        <v/>
      </c>
      <c r="F42">
        <f>IF($A42="","",COUNTIFS('Raw Task Responses'!$B:$B,$A42,'Raw Task Responses'!$D:$D,"TraceGuide",'Raw Task Responses'!$P:$P,2))</f>
        <v/>
      </c>
      <c r="G42">
        <f>IF($A42="","",AVERAGEIFS('Raw Task Responses'!$R:$R,'Raw Task Responses'!$B:$B,$A42,'Raw Task Responses'!$D:$D,"Baseline"))</f>
        <v/>
      </c>
      <c r="H42">
        <f>IF($A42="","",AVERAGEIFS('Raw Task Responses'!$R:$R,'Raw Task Responses'!$B:$B,$A42,'Raw Task Responses'!$D:$D,"TraceGuide"))</f>
        <v/>
      </c>
      <c r="I42">
        <f>IF($A42="","",AVERAGEIFS('Post-test Raw'!$AB:$AB,'Post-test Raw'!$B:$B,$A42,'Post-test Raw'!$C:$C,"Baseline"))</f>
        <v/>
      </c>
      <c r="J42">
        <f>IF($A42="","",AVERAGEIFS('Post-test Raw'!$AB:$AB,'Post-test Raw'!$B:$B,$A42,'Post-test Raw'!$C:$C,"TraceGuide"))</f>
        <v/>
      </c>
      <c r="K42">
        <f>IF($A42="","",AVERAGEIFS('Post-test Raw'!$AC:$AC,'Post-test Raw'!$B:$B,$A42,'Post-test Raw'!$C:$C,"Baseline"))</f>
        <v/>
      </c>
      <c r="L42">
        <f>IF($A42="","",AVERAGEIFS('Post-test Raw'!$AC:$AC,'Post-test Raw'!$B:$B,$A42,'Post-test Raw'!$C:$C,"TraceGuide"))</f>
        <v/>
      </c>
      <c r="M42">
        <f>IF($A42="","",AVERAGEIFS('Post-test Raw'!$AD:$AD,'Post-test Raw'!$B:$B,$A42,'Post-test Raw'!$C:$C,"Baseline"))</f>
        <v/>
      </c>
      <c r="N42">
        <f>IF($A42="","",AVERAGEIFS('Post-test Raw'!$AD:$AD,'Post-test Raw'!$B:$B,$A42,'Post-test Raw'!$C:$C,"TraceGuide"))</f>
        <v/>
      </c>
      <c r="O42">
        <f>IF($A42="","",AVERAGEIFS('Post-test Raw'!$AE:$AE,'Post-test Raw'!$B:$B,$A42,'Post-test Raw'!$C:$C,"Baseline"))</f>
        <v/>
      </c>
      <c r="P42">
        <f>IF($A42="","",AVERAGEIFS('Post-test Raw'!$AE:$AE,'Post-test Raw'!$B:$B,$A42,'Post-test Raw'!$C:$C,"TraceGuide"))</f>
        <v/>
      </c>
    </row>
    <row r="43">
      <c r="A43">
        <f>IFERROR(INDEX(SORT(UNIQUE(FILTER('Raw Task Responses'!$B$2:$B$201,'Raw Task Responses'!$B$2:$B$201&lt;&gt;""))),ROW()-1),"")</f>
        <v/>
      </c>
      <c r="B43">
        <f>IF($A43="","",AVERAGEIFS('Raw Task Responses'!$P:$P,'Raw Task Responses'!$B:$B,$A43,'Raw Task Responses'!$D:$D,"Baseline"))</f>
        <v/>
      </c>
      <c r="C43">
        <f>IF($A43="","",AVERAGEIFS('Raw Task Responses'!$P:$P,'Raw Task Responses'!$B:$B,$A43,'Raw Task Responses'!$D:$D,"TraceGuide"))</f>
        <v/>
      </c>
      <c r="D43">
        <f>IF($A43="","",C43-B43)</f>
        <v/>
      </c>
      <c r="E43">
        <f>IF($A43="","",COUNTIFS('Raw Task Responses'!$B:$B,$A43,'Raw Task Responses'!$D:$D,"Baseline",'Raw Task Responses'!$P:$P,2))</f>
        <v/>
      </c>
      <c r="F43">
        <f>IF($A43="","",COUNTIFS('Raw Task Responses'!$B:$B,$A43,'Raw Task Responses'!$D:$D,"TraceGuide",'Raw Task Responses'!$P:$P,2))</f>
        <v/>
      </c>
      <c r="G43">
        <f>IF($A43="","",AVERAGEIFS('Raw Task Responses'!$R:$R,'Raw Task Responses'!$B:$B,$A43,'Raw Task Responses'!$D:$D,"Baseline"))</f>
        <v/>
      </c>
      <c r="H43">
        <f>IF($A43="","",AVERAGEIFS('Raw Task Responses'!$R:$R,'Raw Task Responses'!$B:$B,$A43,'Raw Task Responses'!$D:$D,"TraceGuide"))</f>
        <v/>
      </c>
      <c r="I43">
        <f>IF($A43="","",AVERAGEIFS('Post-test Raw'!$AB:$AB,'Post-test Raw'!$B:$B,$A43,'Post-test Raw'!$C:$C,"Baseline"))</f>
        <v/>
      </c>
      <c r="J43">
        <f>IF($A43="","",AVERAGEIFS('Post-test Raw'!$AB:$AB,'Post-test Raw'!$B:$B,$A43,'Post-test Raw'!$C:$C,"TraceGuide"))</f>
        <v/>
      </c>
      <c r="K43">
        <f>IF($A43="","",AVERAGEIFS('Post-test Raw'!$AC:$AC,'Post-test Raw'!$B:$B,$A43,'Post-test Raw'!$C:$C,"Baseline"))</f>
        <v/>
      </c>
      <c r="L43">
        <f>IF($A43="","",AVERAGEIFS('Post-test Raw'!$AC:$AC,'Post-test Raw'!$B:$B,$A43,'Post-test Raw'!$C:$C,"TraceGuide"))</f>
        <v/>
      </c>
      <c r="M43">
        <f>IF($A43="","",AVERAGEIFS('Post-test Raw'!$AD:$AD,'Post-test Raw'!$B:$B,$A43,'Post-test Raw'!$C:$C,"Baseline"))</f>
        <v/>
      </c>
      <c r="N43">
        <f>IF($A43="","",AVERAGEIFS('Post-test Raw'!$AD:$AD,'Post-test Raw'!$B:$B,$A43,'Post-test Raw'!$C:$C,"TraceGuide"))</f>
        <v/>
      </c>
      <c r="O43">
        <f>IF($A43="","",AVERAGEIFS('Post-test Raw'!$AE:$AE,'Post-test Raw'!$B:$B,$A43,'Post-test Raw'!$C:$C,"Baseline"))</f>
        <v/>
      </c>
      <c r="P43">
        <f>IF($A43="","",AVERAGEIFS('Post-test Raw'!$AE:$AE,'Post-test Raw'!$B:$B,$A43,'Post-test Raw'!$C:$C,"TraceGuide"))</f>
        <v/>
      </c>
    </row>
    <row r="44">
      <c r="A44">
        <f>IFERROR(INDEX(SORT(UNIQUE(FILTER('Raw Task Responses'!$B$2:$B$201,'Raw Task Responses'!$B$2:$B$201&lt;&gt;""))),ROW()-1),"")</f>
        <v/>
      </c>
      <c r="B44">
        <f>IF($A44="","",AVERAGEIFS('Raw Task Responses'!$P:$P,'Raw Task Responses'!$B:$B,$A44,'Raw Task Responses'!$D:$D,"Baseline"))</f>
        <v/>
      </c>
      <c r="C44">
        <f>IF($A44="","",AVERAGEIFS('Raw Task Responses'!$P:$P,'Raw Task Responses'!$B:$B,$A44,'Raw Task Responses'!$D:$D,"TraceGuide"))</f>
        <v/>
      </c>
      <c r="D44">
        <f>IF($A44="","",C44-B44)</f>
        <v/>
      </c>
      <c r="E44">
        <f>IF($A44="","",COUNTIFS('Raw Task Responses'!$B:$B,$A44,'Raw Task Responses'!$D:$D,"Baseline",'Raw Task Responses'!$P:$P,2))</f>
        <v/>
      </c>
      <c r="F44">
        <f>IF($A44="","",COUNTIFS('Raw Task Responses'!$B:$B,$A44,'Raw Task Responses'!$D:$D,"TraceGuide",'Raw Task Responses'!$P:$P,2))</f>
        <v/>
      </c>
      <c r="G44">
        <f>IF($A44="","",AVERAGEIFS('Raw Task Responses'!$R:$R,'Raw Task Responses'!$B:$B,$A44,'Raw Task Responses'!$D:$D,"Baseline"))</f>
        <v/>
      </c>
      <c r="H44">
        <f>IF($A44="","",AVERAGEIFS('Raw Task Responses'!$R:$R,'Raw Task Responses'!$B:$B,$A44,'Raw Task Responses'!$D:$D,"TraceGuide"))</f>
        <v/>
      </c>
      <c r="I44">
        <f>IF($A44="","",AVERAGEIFS('Post-test Raw'!$AB:$AB,'Post-test Raw'!$B:$B,$A44,'Post-test Raw'!$C:$C,"Baseline"))</f>
        <v/>
      </c>
      <c r="J44">
        <f>IF($A44="","",AVERAGEIFS('Post-test Raw'!$AB:$AB,'Post-test Raw'!$B:$B,$A44,'Post-test Raw'!$C:$C,"TraceGuide"))</f>
        <v/>
      </c>
      <c r="K44">
        <f>IF($A44="","",AVERAGEIFS('Post-test Raw'!$AC:$AC,'Post-test Raw'!$B:$B,$A44,'Post-test Raw'!$C:$C,"Baseline"))</f>
        <v/>
      </c>
      <c r="L44">
        <f>IF($A44="","",AVERAGEIFS('Post-test Raw'!$AC:$AC,'Post-test Raw'!$B:$B,$A44,'Post-test Raw'!$C:$C,"TraceGuide"))</f>
        <v/>
      </c>
      <c r="M44">
        <f>IF($A44="","",AVERAGEIFS('Post-test Raw'!$AD:$AD,'Post-test Raw'!$B:$B,$A44,'Post-test Raw'!$C:$C,"Baseline"))</f>
        <v/>
      </c>
      <c r="N44">
        <f>IF($A44="","",AVERAGEIFS('Post-test Raw'!$AD:$AD,'Post-test Raw'!$B:$B,$A44,'Post-test Raw'!$C:$C,"TraceGuide"))</f>
        <v/>
      </c>
      <c r="O44">
        <f>IF($A44="","",AVERAGEIFS('Post-test Raw'!$AE:$AE,'Post-test Raw'!$B:$B,$A44,'Post-test Raw'!$C:$C,"Baseline"))</f>
        <v/>
      </c>
      <c r="P44">
        <f>IF($A44="","",AVERAGEIFS('Post-test Raw'!$AE:$AE,'Post-test Raw'!$B:$B,$A44,'Post-test Raw'!$C:$C,"TraceGuide"))</f>
        <v/>
      </c>
    </row>
    <row r="45">
      <c r="A45">
        <f>IFERROR(INDEX(SORT(UNIQUE(FILTER('Raw Task Responses'!$B$2:$B$201,'Raw Task Responses'!$B$2:$B$201&lt;&gt;""))),ROW()-1),"")</f>
        <v/>
      </c>
      <c r="B45">
        <f>IF($A45="","",AVERAGEIFS('Raw Task Responses'!$P:$P,'Raw Task Responses'!$B:$B,$A45,'Raw Task Responses'!$D:$D,"Baseline"))</f>
        <v/>
      </c>
      <c r="C45">
        <f>IF($A45="","",AVERAGEIFS('Raw Task Responses'!$P:$P,'Raw Task Responses'!$B:$B,$A45,'Raw Task Responses'!$D:$D,"TraceGuide"))</f>
        <v/>
      </c>
      <c r="D45">
        <f>IF($A45="","",C45-B45)</f>
        <v/>
      </c>
      <c r="E45">
        <f>IF($A45="","",COUNTIFS('Raw Task Responses'!$B:$B,$A45,'Raw Task Responses'!$D:$D,"Baseline",'Raw Task Responses'!$P:$P,2))</f>
        <v/>
      </c>
      <c r="F45">
        <f>IF($A45="","",COUNTIFS('Raw Task Responses'!$B:$B,$A45,'Raw Task Responses'!$D:$D,"TraceGuide",'Raw Task Responses'!$P:$P,2))</f>
        <v/>
      </c>
      <c r="G45">
        <f>IF($A45="","",AVERAGEIFS('Raw Task Responses'!$R:$R,'Raw Task Responses'!$B:$B,$A45,'Raw Task Responses'!$D:$D,"Baseline"))</f>
        <v/>
      </c>
      <c r="H45">
        <f>IF($A45="","",AVERAGEIFS('Raw Task Responses'!$R:$R,'Raw Task Responses'!$B:$B,$A45,'Raw Task Responses'!$D:$D,"TraceGuide"))</f>
        <v/>
      </c>
      <c r="I45">
        <f>IF($A45="","",AVERAGEIFS('Post-test Raw'!$AB:$AB,'Post-test Raw'!$B:$B,$A45,'Post-test Raw'!$C:$C,"Baseline"))</f>
        <v/>
      </c>
      <c r="J45">
        <f>IF($A45="","",AVERAGEIFS('Post-test Raw'!$AB:$AB,'Post-test Raw'!$B:$B,$A45,'Post-test Raw'!$C:$C,"TraceGuide"))</f>
        <v/>
      </c>
      <c r="K45">
        <f>IF($A45="","",AVERAGEIFS('Post-test Raw'!$AC:$AC,'Post-test Raw'!$B:$B,$A45,'Post-test Raw'!$C:$C,"Baseline"))</f>
        <v/>
      </c>
      <c r="L45">
        <f>IF($A45="","",AVERAGEIFS('Post-test Raw'!$AC:$AC,'Post-test Raw'!$B:$B,$A45,'Post-test Raw'!$C:$C,"TraceGuide"))</f>
        <v/>
      </c>
      <c r="M45">
        <f>IF($A45="","",AVERAGEIFS('Post-test Raw'!$AD:$AD,'Post-test Raw'!$B:$B,$A45,'Post-test Raw'!$C:$C,"Baseline"))</f>
        <v/>
      </c>
      <c r="N45">
        <f>IF($A45="","",AVERAGEIFS('Post-test Raw'!$AD:$AD,'Post-test Raw'!$B:$B,$A45,'Post-test Raw'!$C:$C,"TraceGuide"))</f>
        <v/>
      </c>
      <c r="O45">
        <f>IF($A45="","",AVERAGEIFS('Post-test Raw'!$AE:$AE,'Post-test Raw'!$B:$B,$A45,'Post-test Raw'!$C:$C,"Baseline"))</f>
        <v/>
      </c>
      <c r="P45">
        <f>IF($A45="","",AVERAGEIFS('Post-test Raw'!$AE:$AE,'Post-test Raw'!$B:$B,$A45,'Post-test Raw'!$C:$C,"TraceGuide"))</f>
        <v/>
      </c>
    </row>
    <row r="46">
      <c r="A46">
        <f>IFERROR(INDEX(SORT(UNIQUE(FILTER('Raw Task Responses'!$B$2:$B$201,'Raw Task Responses'!$B$2:$B$201&lt;&gt;""))),ROW()-1),"")</f>
        <v/>
      </c>
      <c r="B46">
        <f>IF($A46="","",AVERAGEIFS('Raw Task Responses'!$P:$P,'Raw Task Responses'!$B:$B,$A46,'Raw Task Responses'!$D:$D,"Baseline"))</f>
        <v/>
      </c>
      <c r="C46">
        <f>IF($A46="","",AVERAGEIFS('Raw Task Responses'!$P:$P,'Raw Task Responses'!$B:$B,$A46,'Raw Task Responses'!$D:$D,"TraceGuide"))</f>
        <v/>
      </c>
      <c r="D46">
        <f>IF($A46="","",C46-B46)</f>
        <v/>
      </c>
      <c r="E46">
        <f>IF($A46="","",COUNTIFS('Raw Task Responses'!$B:$B,$A46,'Raw Task Responses'!$D:$D,"Baseline",'Raw Task Responses'!$P:$P,2))</f>
        <v/>
      </c>
      <c r="F46">
        <f>IF($A46="","",COUNTIFS('Raw Task Responses'!$B:$B,$A46,'Raw Task Responses'!$D:$D,"TraceGuide",'Raw Task Responses'!$P:$P,2))</f>
        <v/>
      </c>
      <c r="G46">
        <f>IF($A46="","",AVERAGEIFS('Raw Task Responses'!$R:$R,'Raw Task Responses'!$B:$B,$A46,'Raw Task Responses'!$D:$D,"Baseline"))</f>
        <v/>
      </c>
      <c r="H46">
        <f>IF($A46="","",AVERAGEIFS('Raw Task Responses'!$R:$R,'Raw Task Responses'!$B:$B,$A46,'Raw Task Responses'!$D:$D,"TraceGuide"))</f>
        <v/>
      </c>
      <c r="I46">
        <f>IF($A46="","",AVERAGEIFS('Post-test Raw'!$AB:$AB,'Post-test Raw'!$B:$B,$A46,'Post-test Raw'!$C:$C,"Baseline"))</f>
        <v/>
      </c>
      <c r="J46">
        <f>IF($A46="","",AVERAGEIFS('Post-test Raw'!$AB:$AB,'Post-test Raw'!$B:$B,$A46,'Post-test Raw'!$C:$C,"TraceGuide"))</f>
        <v/>
      </c>
      <c r="K46">
        <f>IF($A46="","",AVERAGEIFS('Post-test Raw'!$AC:$AC,'Post-test Raw'!$B:$B,$A46,'Post-test Raw'!$C:$C,"Baseline"))</f>
        <v/>
      </c>
      <c r="L46">
        <f>IF($A46="","",AVERAGEIFS('Post-test Raw'!$AC:$AC,'Post-test Raw'!$B:$B,$A46,'Post-test Raw'!$C:$C,"TraceGuide"))</f>
        <v/>
      </c>
      <c r="M46">
        <f>IF($A46="","",AVERAGEIFS('Post-test Raw'!$AD:$AD,'Post-test Raw'!$B:$B,$A46,'Post-test Raw'!$C:$C,"Baseline"))</f>
        <v/>
      </c>
      <c r="N46">
        <f>IF($A46="","",AVERAGEIFS('Post-test Raw'!$AD:$AD,'Post-test Raw'!$B:$B,$A46,'Post-test Raw'!$C:$C,"TraceGuide"))</f>
        <v/>
      </c>
      <c r="O46">
        <f>IF($A46="","",AVERAGEIFS('Post-test Raw'!$AE:$AE,'Post-test Raw'!$B:$B,$A46,'Post-test Raw'!$C:$C,"Baseline"))</f>
        <v/>
      </c>
      <c r="P46">
        <f>IF($A46="","",AVERAGEIFS('Post-test Raw'!$AE:$AE,'Post-test Raw'!$B:$B,$A46,'Post-test Raw'!$C:$C,"TraceGuide"))</f>
        <v/>
      </c>
    </row>
    <row r="47">
      <c r="A47">
        <f>IFERROR(INDEX(SORT(UNIQUE(FILTER('Raw Task Responses'!$B$2:$B$201,'Raw Task Responses'!$B$2:$B$201&lt;&gt;""))),ROW()-1),"")</f>
        <v/>
      </c>
      <c r="B47">
        <f>IF($A47="","",AVERAGEIFS('Raw Task Responses'!$P:$P,'Raw Task Responses'!$B:$B,$A47,'Raw Task Responses'!$D:$D,"Baseline"))</f>
        <v/>
      </c>
      <c r="C47">
        <f>IF($A47="","",AVERAGEIFS('Raw Task Responses'!$P:$P,'Raw Task Responses'!$B:$B,$A47,'Raw Task Responses'!$D:$D,"TraceGuide"))</f>
        <v/>
      </c>
      <c r="D47">
        <f>IF($A47="","",C47-B47)</f>
        <v/>
      </c>
      <c r="E47">
        <f>IF($A47="","",COUNTIFS('Raw Task Responses'!$B:$B,$A47,'Raw Task Responses'!$D:$D,"Baseline",'Raw Task Responses'!$P:$P,2))</f>
        <v/>
      </c>
      <c r="F47">
        <f>IF($A47="","",COUNTIFS('Raw Task Responses'!$B:$B,$A47,'Raw Task Responses'!$D:$D,"TraceGuide",'Raw Task Responses'!$P:$P,2))</f>
        <v/>
      </c>
      <c r="G47">
        <f>IF($A47="","",AVERAGEIFS('Raw Task Responses'!$R:$R,'Raw Task Responses'!$B:$B,$A47,'Raw Task Responses'!$D:$D,"Baseline"))</f>
        <v/>
      </c>
      <c r="H47">
        <f>IF($A47="","",AVERAGEIFS('Raw Task Responses'!$R:$R,'Raw Task Responses'!$B:$B,$A47,'Raw Task Responses'!$D:$D,"TraceGuide"))</f>
        <v/>
      </c>
      <c r="I47">
        <f>IF($A47="","",AVERAGEIFS('Post-test Raw'!$AB:$AB,'Post-test Raw'!$B:$B,$A47,'Post-test Raw'!$C:$C,"Baseline"))</f>
        <v/>
      </c>
      <c r="J47">
        <f>IF($A47="","",AVERAGEIFS('Post-test Raw'!$AB:$AB,'Post-test Raw'!$B:$B,$A47,'Post-test Raw'!$C:$C,"TraceGuide"))</f>
        <v/>
      </c>
      <c r="K47">
        <f>IF($A47="","",AVERAGEIFS('Post-test Raw'!$AC:$AC,'Post-test Raw'!$B:$B,$A47,'Post-test Raw'!$C:$C,"Baseline"))</f>
        <v/>
      </c>
      <c r="L47">
        <f>IF($A47="","",AVERAGEIFS('Post-test Raw'!$AC:$AC,'Post-test Raw'!$B:$B,$A47,'Post-test Raw'!$C:$C,"TraceGuide"))</f>
        <v/>
      </c>
      <c r="M47">
        <f>IF($A47="","",AVERAGEIFS('Post-test Raw'!$AD:$AD,'Post-test Raw'!$B:$B,$A47,'Post-test Raw'!$C:$C,"Baseline"))</f>
        <v/>
      </c>
      <c r="N47">
        <f>IF($A47="","",AVERAGEIFS('Post-test Raw'!$AD:$AD,'Post-test Raw'!$B:$B,$A47,'Post-test Raw'!$C:$C,"TraceGuide"))</f>
        <v/>
      </c>
      <c r="O47">
        <f>IF($A47="","",AVERAGEIFS('Post-test Raw'!$AE:$AE,'Post-test Raw'!$B:$B,$A47,'Post-test Raw'!$C:$C,"Baseline"))</f>
        <v/>
      </c>
      <c r="P47">
        <f>IF($A47="","",AVERAGEIFS('Post-test Raw'!$AE:$AE,'Post-test Raw'!$B:$B,$A47,'Post-test Raw'!$C:$C,"TraceGuide"))</f>
        <v/>
      </c>
    </row>
    <row r="48">
      <c r="A48">
        <f>IFERROR(INDEX(SORT(UNIQUE(FILTER('Raw Task Responses'!$B$2:$B$201,'Raw Task Responses'!$B$2:$B$201&lt;&gt;""))),ROW()-1),"")</f>
        <v/>
      </c>
      <c r="B48">
        <f>IF($A48="","",AVERAGEIFS('Raw Task Responses'!$P:$P,'Raw Task Responses'!$B:$B,$A48,'Raw Task Responses'!$D:$D,"Baseline"))</f>
        <v/>
      </c>
      <c r="C48">
        <f>IF($A48="","",AVERAGEIFS('Raw Task Responses'!$P:$P,'Raw Task Responses'!$B:$B,$A48,'Raw Task Responses'!$D:$D,"TraceGuide"))</f>
        <v/>
      </c>
      <c r="D48">
        <f>IF($A48="","",C48-B48)</f>
        <v/>
      </c>
      <c r="E48">
        <f>IF($A48="","",COUNTIFS('Raw Task Responses'!$B:$B,$A48,'Raw Task Responses'!$D:$D,"Baseline",'Raw Task Responses'!$P:$P,2))</f>
        <v/>
      </c>
      <c r="F48">
        <f>IF($A48="","",COUNTIFS('Raw Task Responses'!$B:$B,$A48,'Raw Task Responses'!$D:$D,"TraceGuide",'Raw Task Responses'!$P:$P,2))</f>
        <v/>
      </c>
      <c r="G48">
        <f>IF($A48="","",AVERAGEIFS('Raw Task Responses'!$R:$R,'Raw Task Responses'!$B:$B,$A48,'Raw Task Responses'!$D:$D,"Baseline"))</f>
        <v/>
      </c>
      <c r="H48">
        <f>IF($A48="","",AVERAGEIFS('Raw Task Responses'!$R:$R,'Raw Task Responses'!$B:$B,$A48,'Raw Task Responses'!$D:$D,"TraceGuide"))</f>
        <v/>
      </c>
      <c r="I48">
        <f>IF($A48="","",AVERAGEIFS('Post-test Raw'!$AB:$AB,'Post-test Raw'!$B:$B,$A48,'Post-test Raw'!$C:$C,"Baseline"))</f>
        <v/>
      </c>
      <c r="J48">
        <f>IF($A48="","",AVERAGEIFS('Post-test Raw'!$AB:$AB,'Post-test Raw'!$B:$B,$A48,'Post-test Raw'!$C:$C,"TraceGuide"))</f>
        <v/>
      </c>
      <c r="K48">
        <f>IF($A48="","",AVERAGEIFS('Post-test Raw'!$AC:$AC,'Post-test Raw'!$B:$B,$A48,'Post-test Raw'!$C:$C,"Baseline"))</f>
        <v/>
      </c>
      <c r="L48">
        <f>IF($A48="","",AVERAGEIFS('Post-test Raw'!$AC:$AC,'Post-test Raw'!$B:$B,$A48,'Post-test Raw'!$C:$C,"TraceGuide"))</f>
        <v/>
      </c>
      <c r="M48">
        <f>IF($A48="","",AVERAGEIFS('Post-test Raw'!$AD:$AD,'Post-test Raw'!$B:$B,$A48,'Post-test Raw'!$C:$C,"Baseline"))</f>
        <v/>
      </c>
      <c r="N48">
        <f>IF($A48="","",AVERAGEIFS('Post-test Raw'!$AD:$AD,'Post-test Raw'!$B:$B,$A48,'Post-test Raw'!$C:$C,"TraceGuide"))</f>
        <v/>
      </c>
      <c r="O48">
        <f>IF($A48="","",AVERAGEIFS('Post-test Raw'!$AE:$AE,'Post-test Raw'!$B:$B,$A48,'Post-test Raw'!$C:$C,"Baseline"))</f>
        <v/>
      </c>
      <c r="P48">
        <f>IF($A48="","",AVERAGEIFS('Post-test Raw'!$AE:$AE,'Post-test Raw'!$B:$B,$A48,'Post-test Raw'!$C:$C,"TraceGuide"))</f>
        <v/>
      </c>
    </row>
    <row r="49">
      <c r="A49">
        <f>IFERROR(INDEX(SORT(UNIQUE(FILTER('Raw Task Responses'!$B$2:$B$201,'Raw Task Responses'!$B$2:$B$201&lt;&gt;""))),ROW()-1),"")</f>
        <v/>
      </c>
      <c r="B49">
        <f>IF($A49="","",AVERAGEIFS('Raw Task Responses'!$P:$P,'Raw Task Responses'!$B:$B,$A49,'Raw Task Responses'!$D:$D,"Baseline"))</f>
        <v/>
      </c>
      <c r="C49">
        <f>IF($A49="","",AVERAGEIFS('Raw Task Responses'!$P:$P,'Raw Task Responses'!$B:$B,$A49,'Raw Task Responses'!$D:$D,"TraceGuide"))</f>
        <v/>
      </c>
      <c r="D49">
        <f>IF($A49="","",C49-B49)</f>
        <v/>
      </c>
      <c r="E49">
        <f>IF($A49="","",COUNTIFS('Raw Task Responses'!$B:$B,$A49,'Raw Task Responses'!$D:$D,"Baseline",'Raw Task Responses'!$P:$P,2))</f>
        <v/>
      </c>
      <c r="F49">
        <f>IF($A49="","",COUNTIFS('Raw Task Responses'!$B:$B,$A49,'Raw Task Responses'!$D:$D,"TraceGuide",'Raw Task Responses'!$P:$P,2))</f>
        <v/>
      </c>
      <c r="G49">
        <f>IF($A49="","",AVERAGEIFS('Raw Task Responses'!$R:$R,'Raw Task Responses'!$B:$B,$A49,'Raw Task Responses'!$D:$D,"Baseline"))</f>
        <v/>
      </c>
      <c r="H49">
        <f>IF($A49="","",AVERAGEIFS('Raw Task Responses'!$R:$R,'Raw Task Responses'!$B:$B,$A49,'Raw Task Responses'!$D:$D,"TraceGuide"))</f>
        <v/>
      </c>
      <c r="I49">
        <f>IF($A49="","",AVERAGEIFS('Post-test Raw'!$AB:$AB,'Post-test Raw'!$B:$B,$A49,'Post-test Raw'!$C:$C,"Baseline"))</f>
        <v/>
      </c>
      <c r="J49">
        <f>IF($A49="","",AVERAGEIFS('Post-test Raw'!$AB:$AB,'Post-test Raw'!$B:$B,$A49,'Post-test Raw'!$C:$C,"TraceGuide"))</f>
        <v/>
      </c>
      <c r="K49">
        <f>IF($A49="","",AVERAGEIFS('Post-test Raw'!$AC:$AC,'Post-test Raw'!$B:$B,$A49,'Post-test Raw'!$C:$C,"Baseline"))</f>
        <v/>
      </c>
      <c r="L49">
        <f>IF($A49="","",AVERAGEIFS('Post-test Raw'!$AC:$AC,'Post-test Raw'!$B:$B,$A49,'Post-test Raw'!$C:$C,"TraceGuide"))</f>
        <v/>
      </c>
      <c r="M49">
        <f>IF($A49="","",AVERAGEIFS('Post-test Raw'!$AD:$AD,'Post-test Raw'!$B:$B,$A49,'Post-test Raw'!$C:$C,"Baseline"))</f>
        <v/>
      </c>
      <c r="N49">
        <f>IF($A49="","",AVERAGEIFS('Post-test Raw'!$AD:$AD,'Post-test Raw'!$B:$B,$A49,'Post-test Raw'!$C:$C,"TraceGuide"))</f>
        <v/>
      </c>
      <c r="O49">
        <f>IF($A49="","",AVERAGEIFS('Post-test Raw'!$AE:$AE,'Post-test Raw'!$B:$B,$A49,'Post-test Raw'!$C:$C,"Baseline"))</f>
        <v/>
      </c>
      <c r="P49">
        <f>IF($A49="","",AVERAGEIFS('Post-test Raw'!$AE:$AE,'Post-test Raw'!$B:$B,$A49,'Post-test Raw'!$C:$C,"TraceGuide"))</f>
        <v/>
      </c>
    </row>
    <row r="50">
      <c r="A50">
        <f>IFERROR(INDEX(SORT(UNIQUE(FILTER('Raw Task Responses'!$B$2:$B$201,'Raw Task Responses'!$B$2:$B$201&lt;&gt;""))),ROW()-1),"")</f>
        <v/>
      </c>
      <c r="B50">
        <f>IF($A50="","",AVERAGEIFS('Raw Task Responses'!$P:$P,'Raw Task Responses'!$B:$B,$A50,'Raw Task Responses'!$D:$D,"Baseline"))</f>
        <v/>
      </c>
      <c r="C50">
        <f>IF($A50="","",AVERAGEIFS('Raw Task Responses'!$P:$P,'Raw Task Responses'!$B:$B,$A50,'Raw Task Responses'!$D:$D,"TraceGuide"))</f>
        <v/>
      </c>
      <c r="D50">
        <f>IF($A50="","",C50-B50)</f>
        <v/>
      </c>
      <c r="E50">
        <f>IF($A50="","",COUNTIFS('Raw Task Responses'!$B:$B,$A50,'Raw Task Responses'!$D:$D,"Baseline",'Raw Task Responses'!$P:$P,2))</f>
        <v/>
      </c>
      <c r="F50">
        <f>IF($A50="","",COUNTIFS('Raw Task Responses'!$B:$B,$A50,'Raw Task Responses'!$D:$D,"TraceGuide",'Raw Task Responses'!$P:$P,2))</f>
        <v/>
      </c>
      <c r="G50">
        <f>IF($A50="","",AVERAGEIFS('Raw Task Responses'!$R:$R,'Raw Task Responses'!$B:$B,$A50,'Raw Task Responses'!$D:$D,"Baseline"))</f>
        <v/>
      </c>
      <c r="H50">
        <f>IF($A50="","",AVERAGEIFS('Raw Task Responses'!$R:$R,'Raw Task Responses'!$B:$B,$A50,'Raw Task Responses'!$D:$D,"TraceGuide"))</f>
        <v/>
      </c>
      <c r="I50">
        <f>IF($A50="","",AVERAGEIFS('Post-test Raw'!$AB:$AB,'Post-test Raw'!$B:$B,$A50,'Post-test Raw'!$C:$C,"Baseline"))</f>
        <v/>
      </c>
      <c r="J50">
        <f>IF($A50="","",AVERAGEIFS('Post-test Raw'!$AB:$AB,'Post-test Raw'!$B:$B,$A50,'Post-test Raw'!$C:$C,"TraceGuide"))</f>
        <v/>
      </c>
      <c r="K50">
        <f>IF($A50="","",AVERAGEIFS('Post-test Raw'!$AC:$AC,'Post-test Raw'!$B:$B,$A50,'Post-test Raw'!$C:$C,"Baseline"))</f>
        <v/>
      </c>
      <c r="L50">
        <f>IF($A50="","",AVERAGEIFS('Post-test Raw'!$AC:$AC,'Post-test Raw'!$B:$B,$A50,'Post-test Raw'!$C:$C,"TraceGuide"))</f>
        <v/>
      </c>
      <c r="M50">
        <f>IF($A50="","",AVERAGEIFS('Post-test Raw'!$AD:$AD,'Post-test Raw'!$B:$B,$A50,'Post-test Raw'!$C:$C,"Baseline"))</f>
        <v/>
      </c>
      <c r="N50">
        <f>IF($A50="","",AVERAGEIFS('Post-test Raw'!$AD:$AD,'Post-test Raw'!$B:$B,$A50,'Post-test Raw'!$C:$C,"TraceGuide"))</f>
        <v/>
      </c>
      <c r="O50">
        <f>IF($A50="","",AVERAGEIFS('Post-test Raw'!$AE:$AE,'Post-test Raw'!$B:$B,$A50,'Post-test Raw'!$C:$C,"Baseline"))</f>
        <v/>
      </c>
      <c r="P50">
        <f>IF($A50="","",AVERAGEIFS('Post-test Raw'!$AE:$AE,'Post-test Raw'!$B:$B,$A50,'Post-test Raw'!$C:$C,"TraceGuide"))</f>
        <v/>
      </c>
    </row>
    <row r="51">
      <c r="A51">
        <f>IFERROR(INDEX(SORT(UNIQUE(FILTER('Raw Task Responses'!$B$2:$B$201,'Raw Task Responses'!$B$2:$B$201&lt;&gt;""))),ROW()-1),"")</f>
        <v/>
      </c>
      <c r="B51">
        <f>IF($A51="","",AVERAGEIFS('Raw Task Responses'!$P:$P,'Raw Task Responses'!$B:$B,$A51,'Raw Task Responses'!$D:$D,"Baseline"))</f>
        <v/>
      </c>
      <c r="C51">
        <f>IF($A51="","",AVERAGEIFS('Raw Task Responses'!$P:$P,'Raw Task Responses'!$B:$B,$A51,'Raw Task Responses'!$D:$D,"TraceGuide"))</f>
        <v/>
      </c>
      <c r="D51">
        <f>IF($A51="","",C51-B51)</f>
        <v/>
      </c>
      <c r="E51">
        <f>IF($A51="","",COUNTIFS('Raw Task Responses'!$B:$B,$A51,'Raw Task Responses'!$D:$D,"Baseline",'Raw Task Responses'!$P:$P,2))</f>
        <v/>
      </c>
      <c r="F51">
        <f>IF($A51="","",COUNTIFS('Raw Task Responses'!$B:$B,$A51,'Raw Task Responses'!$D:$D,"TraceGuide",'Raw Task Responses'!$P:$P,2))</f>
        <v/>
      </c>
      <c r="G51">
        <f>IF($A51="","",AVERAGEIFS('Raw Task Responses'!$R:$R,'Raw Task Responses'!$B:$B,$A51,'Raw Task Responses'!$D:$D,"Baseline"))</f>
        <v/>
      </c>
      <c r="H51">
        <f>IF($A51="","",AVERAGEIFS('Raw Task Responses'!$R:$R,'Raw Task Responses'!$B:$B,$A51,'Raw Task Responses'!$D:$D,"TraceGuide"))</f>
        <v/>
      </c>
      <c r="I51">
        <f>IF($A51="","",AVERAGEIFS('Post-test Raw'!$AB:$AB,'Post-test Raw'!$B:$B,$A51,'Post-test Raw'!$C:$C,"Baseline"))</f>
        <v/>
      </c>
      <c r="J51">
        <f>IF($A51="","",AVERAGEIFS('Post-test Raw'!$AB:$AB,'Post-test Raw'!$B:$B,$A51,'Post-test Raw'!$C:$C,"TraceGuide"))</f>
        <v/>
      </c>
      <c r="K51">
        <f>IF($A51="","",AVERAGEIFS('Post-test Raw'!$AC:$AC,'Post-test Raw'!$B:$B,$A51,'Post-test Raw'!$C:$C,"Baseline"))</f>
        <v/>
      </c>
      <c r="L51">
        <f>IF($A51="","",AVERAGEIFS('Post-test Raw'!$AC:$AC,'Post-test Raw'!$B:$B,$A51,'Post-test Raw'!$C:$C,"TraceGuide"))</f>
        <v/>
      </c>
      <c r="M51">
        <f>IF($A51="","",AVERAGEIFS('Post-test Raw'!$AD:$AD,'Post-test Raw'!$B:$B,$A51,'Post-test Raw'!$C:$C,"Baseline"))</f>
        <v/>
      </c>
      <c r="N51">
        <f>IF($A51="","",AVERAGEIFS('Post-test Raw'!$AD:$AD,'Post-test Raw'!$B:$B,$A51,'Post-test Raw'!$C:$C,"TraceGuide"))</f>
        <v/>
      </c>
      <c r="O51">
        <f>IF($A51="","",AVERAGEIFS('Post-test Raw'!$AE:$AE,'Post-test Raw'!$B:$B,$A51,'Post-test Raw'!$C:$C,"Baseline"))</f>
        <v/>
      </c>
      <c r="P51">
        <f>IF($A51="","",AVERAGEIFS('Post-test Raw'!$AE:$AE,'Post-test Raw'!$B:$B,$A51,'Post-test Raw'!$C:$C,"TraceGuide"))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 mean</t>
        </is>
      </c>
      <c r="C1" t="inlineStr">
        <is>
          <t>TraceGuide mean</t>
        </is>
      </c>
      <c r="D1" t="inlineStr">
        <is>
          <t>Difference / TraceGuide - Baseline</t>
        </is>
      </c>
    </row>
    <row r="2">
      <c r="A2" t="inlineStr">
        <is>
          <t>Decision appropriateness</t>
        </is>
      </c>
      <c r="B2">
        <f>AVERAGE('Participant Summary'!B2:B51)</f>
        <v/>
      </c>
      <c r="C2">
        <f>AVERAGE('Participant Summary'!C2:C51)</f>
        <v/>
      </c>
      <c r="D2">
        <f>C2-B2</f>
        <v/>
      </c>
    </row>
    <row r="3">
      <c r="A3" t="inlineStr">
        <is>
          <t>Correct task count</t>
        </is>
      </c>
      <c r="B3">
        <f>AVERAGE('Participant Summary'!E2:E51)</f>
        <v/>
      </c>
      <c r="C3">
        <f>AVERAGE('Participant Summary'!F2:F51)</f>
        <v/>
      </c>
      <c r="D3">
        <f>C3-B3</f>
        <v/>
      </c>
    </row>
    <row r="4">
      <c r="A4" t="inlineStr">
        <is>
          <t>ASQ task satisfaction</t>
        </is>
      </c>
      <c r="B4">
        <f>AVERAGE('Participant Summary'!G2:G51)</f>
        <v/>
      </c>
      <c r="C4">
        <f>AVERAGE('Participant Summary'!H2:H51)</f>
        <v/>
      </c>
      <c r="D4">
        <f>C4-B4</f>
        <v/>
      </c>
    </row>
    <row r="5">
      <c r="A5" t="inlineStr">
        <is>
          <t>SUS usability</t>
        </is>
      </c>
      <c r="B5">
        <f>AVERAGE('Participant Summary'!I2:I51)</f>
        <v/>
      </c>
      <c r="C5">
        <f>AVERAGE('Participant Summary'!J2:J51)</f>
        <v/>
      </c>
      <c r="D5">
        <f>C5-B5</f>
        <v/>
      </c>
    </row>
    <row r="6">
      <c r="A6" t="inlineStr">
        <is>
          <t>Raw NASA-TLX workload</t>
        </is>
      </c>
      <c r="B6">
        <f>AVERAGE('Participant Summary'!K2:K51)</f>
        <v/>
      </c>
      <c r="C6">
        <f>AVERAGE('Participant Summary'!L2:L51)</f>
        <v/>
      </c>
      <c r="D6">
        <f>C6-B6</f>
        <v/>
      </c>
    </row>
    <row r="7">
      <c r="A7" t="inlineStr">
        <is>
          <t>Evidence understanding</t>
        </is>
      </c>
      <c r="B7">
        <f>AVERAGE('Participant Summary'!M2:M51)</f>
        <v/>
      </c>
      <c r="C7">
        <f>AVERAGE('Participant Summary'!N2:N51)</f>
        <v/>
      </c>
      <c r="D7">
        <f>C7-B7</f>
        <v/>
      </c>
    </row>
    <row r="8">
      <c r="A8" t="inlineStr">
        <is>
          <t>Perceived control</t>
        </is>
      </c>
      <c r="B8">
        <f>AVERAGE('Participant Summary'!O2:O51)</f>
        <v/>
      </c>
      <c r="C8">
        <f>AVERAGE('Participant Summary'!P2:P51)</f>
        <v/>
      </c>
      <c r="D8">
        <f>C8-B8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TraceGuide Agent UX Study Scoring Workbook</dc:title>
  <dcterms:created xmlns:dcterms="http://purl.org/dc/terms/" xmlns:xsi="http://www.w3.org/2001/XMLSchema-instance" xsi:type="dcterms:W3CDTF">2026-07-05T13:57:53Z</dcterms:created>
  <dcterms:modified xmlns:dcterms="http://purl.org/dc/terms/" xmlns:xsi="http://www.w3.org/2001/XMLSchema-instance" xsi:type="dcterms:W3CDTF">2026-07-05T13:57:53Z</dcterms:modified>
</cp:coreProperties>
</file>