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Instructions" sheetId="1" r:id="rId1"/>
    <sheet name="Task Scoring Key" sheetId="2" r:id="rId2"/>
    <sheet name="Raw Task Responses" sheetId="3" r:id="rId3"/>
    <sheet name="Post-test Raw" sheetId="4" r:id="rId4"/>
    <sheet name="Participant Summary" sheetId="5" r:id="rId5"/>
    <sheet name="Condition Comparison" sheetId="6" r:id="rId6"/>
  </sheets>
</workbook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/Relationships>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TraceGuide Agent UX Study Scoring Workbook</t>
        </is>
      </c>
    </row>
    <row r="2">
      <c r="A2" t="inlineStr">
        <is>
          <t>Purpose</t>
        </is>
      </c>
      <c r="B2" t="inlineStr">
        <is>
          <t>Paste/export Google Forms responses into the raw tabs, then use summary tabs to compare Baseline vs TraceGuide.</t>
        </is>
      </c>
    </row>
    <row r="3">
      <c r="A3" t="inlineStr">
        <is>
          <t>Study design</t>
        </is>
      </c>
      <c r="B3" t="inlineStr">
        <is>
          <t>Within-subject counterbalanced UX study. Each participant completes 3 Baseline tasks and 3 TraceGuide tasks.</t>
        </is>
      </c>
    </row>
    <row r="4">
      <c r="A4" t="inlineStr">
        <is>
          <t>Primary outcome</t>
        </is>
      </c>
      <c r="B4" t="inlineStr">
        <is>
          <t>Decision appropriateness, scored 0-2 per task.</t>
        </is>
      </c>
    </row>
    <row r="5">
      <c r="A5" t="inlineStr">
        <is>
          <t>Important</t>
        </is>
      </c>
      <c r="B5" t="inlineStr">
        <is>
          <t>Do not use this workbook to claim broad causal proof from 16-20 participants. Report trends, descriptive statistics, and paired comparisons.</t>
        </is>
      </c>
    </row>
    <row r="6"/>
    <row r="7">
      <c r="A7" t="inlineStr">
        <is>
          <t>Raw Task Responses</t>
        </is>
      </c>
      <c r="B7" t="inlineStr">
        <is>
          <t>Paste one row per task response. Each participant should have six rows.</t>
        </is>
      </c>
    </row>
    <row r="8">
      <c r="A8" t="inlineStr">
        <is>
          <t>Post-test Raw</t>
        </is>
      </c>
      <c r="B8" t="inlineStr">
        <is>
          <t>Paste one row per participant per condition for SUS, NASA-TLX, and study-specific items.</t>
        </is>
      </c>
    </row>
    <row r="9">
      <c r="A9" t="inlineStr">
        <is>
          <t>Task Scoring Key</t>
        </is>
      </c>
      <c r="B9" t="inlineStr">
        <is>
          <t>Defines best and partial decision options for each task.</t>
        </is>
      </c>
    </row>
    <row r="10">
      <c r="A10" t="inlineStr">
        <is>
          <t>Participant Summary</t>
        </is>
      </c>
      <c r="B10" t="inlineStr">
        <is>
          <t>Auto-calculates condition-level averages per participant.</t>
        </is>
      </c>
    </row>
    <row r="11">
      <c r="A11" t="inlineStr">
        <is>
          <t>Condition Comparison</t>
        </is>
      </c>
      <c r="B11" t="inlineStr">
        <is>
          <t>Auto-summarises Baseline vs TraceGuide means.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Task ID</t>
        </is>
      </c>
      <c r="B1" t="inlineStr">
        <is>
          <t>Task type</t>
        </is>
      </c>
      <c r="C1" t="inlineStr">
        <is>
          <t>Best decision option</t>
        </is>
      </c>
      <c r="D1" t="inlineStr">
        <is>
          <t>Partial decision option</t>
        </is>
      </c>
      <c r="E1" t="inlineStr">
        <is>
          <t>Correct authorisation option</t>
        </is>
      </c>
      <c r="F1" t="inlineStr">
        <is>
          <t>Ground truth note</t>
        </is>
      </c>
    </row>
    <row r="2">
      <c r="A2" t="inlineStr">
        <is>
          <t>S1-T1</t>
        </is>
      </c>
      <c r="B2" t="inlineStr">
        <is>
          <t>Product information decision</t>
        </is>
      </c>
      <c r="C2" t="inlineStr">
        <is>
          <t>Do not follow the AI advice</t>
        </is>
      </c>
      <c r="D2" t="inlineStr">
        <is>
          <t>Ask human support</t>
        </is>
      </c>
      <c r="E2" t="inlineStr">
        <is>
          <t>No</t>
        </is>
      </c>
      <c r="F2" t="inlineStr">
        <is>
          <t>Do not eat milk cookies because ingredient/allergen evidence shows peanut risk.</t>
        </is>
      </c>
    </row>
    <row r="3">
      <c r="A3" t="inlineStr">
        <is>
          <t>S1-T2</t>
        </is>
      </c>
      <c r="B3" t="inlineStr">
        <is>
          <t>Order modification decision</t>
        </is>
      </c>
      <c r="C3" t="inlineStr">
        <is>
          <t>Follow the AI advice and authorise the action</t>
        </is>
      </c>
      <c r="D3" t="inlineStr">
        <is>
          <t>Pause and check more information first</t>
        </is>
      </c>
      <c r="E3" t="inlineStr">
        <is>
          <t>Yes</t>
        </is>
      </c>
      <c r="F3" t="inlineStr">
        <is>
          <t>Coffee maker order is not dispatched, so address change can be prepared after confirmation.</t>
        </is>
      </c>
    </row>
    <row r="4">
      <c r="A4" t="inlineStr">
        <is>
          <t>S1-T3</t>
        </is>
      </c>
      <c r="B4" t="inlineStr">
        <is>
          <t>Return/refund decision</t>
        </is>
      </c>
      <c r="C4" t="inlineStr">
        <is>
          <t>Follow the AI advice and authorise the action</t>
        </is>
      </c>
      <c r="D4" t="inlineStr">
        <is>
          <t>Follow the advice but do not authorise an action yet</t>
        </is>
      </c>
      <c r="E4" t="inlineStr">
        <is>
          <t>Yes</t>
        </is>
      </c>
      <c r="F4" t="inlineStr">
        <is>
          <t>Damaged lunch box can proceed to refund request after user confirmation.</t>
        </is>
      </c>
    </row>
    <row r="5">
      <c r="A5" t="inlineStr">
        <is>
          <t>S2-T1</t>
        </is>
      </c>
      <c r="B5" t="inlineStr">
        <is>
          <t>Product information decision</t>
        </is>
      </c>
      <c r="C5" t="inlineStr">
        <is>
          <t>Do not follow the AI advice</t>
        </is>
      </c>
      <c r="D5" t="inlineStr">
        <is>
          <t>Ask human support</t>
        </is>
      </c>
      <c r="E5" t="inlineStr">
        <is>
          <t>No</t>
        </is>
      </c>
      <c r="F5" t="inlineStr">
        <is>
          <t>Do not eat protein bar because product allergen record includes peanut risk.</t>
        </is>
      </c>
    </row>
    <row r="6">
      <c r="A6" t="inlineStr">
        <is>
          <t>S2-T2</t>
        </is>
      </c>
      <c r="B6" t="inlineStr">
        <is>
          <t>Order modification decision</t>
        </is>
      </c>
      <c r="C6" t="inlineStr">
        <is>
          <t>Ask human support</t>
        </is>
      </c>
      <c r="D6" t="inlineStr">
        <is>
          <t>Pause and check more information first</t>
        </is>
      </c>
      <c r="E6" t="inlineStr">
        <is>
          <t>No</t>
        </is>
      </c>
      <c r="F6" t="inlineStr">
        <is>
          <t>Fresh sandwich is already out for delivery, so normal self-service address change should not be authorised.</t>
        </is>
      </c>
    </row>
    <row r="7">
      <c r="A7" t="inlineStr">
        <is>
          <t>S2-T3</t>
        </is>
      </c>
      <c r="B7" t="inlineStr">
        <is>
          <t>Return/refund decision</t>
        </is>
      </c>
      <c r="C7" t="inlineStr">
        <is>
          <t>Add missing evidence or correct details first</t>
        </is>
      </c>
      <c r="D7" t="inlineStr">
        <is>
          <t>Ask human support</t>
        </is>
      </c>
      <c r="E7" t="inlineStr">
        <is>
          <t>No</t>
        </is>
      </c>
      <c r="F7" t="inlineStr">
        <is>
          <t>Snack package refund should not be authorised before photo evidence or human review.</t>
        </is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Timestamp</t>
        </is>
      </c>
      <c r="B1" t="inlineStr">
        <is>
          <t>Participant code</t>
        </is>
      </c>
      <c r="C1" t="inlineStr">
        <is>
          <t>Group</t>
        </is>
      </c>
      <c r="D1" t="inlineStr">
        <is>
          <t>Condition</t>
        </is>
      </c>
      <c r="E1" t="inlineStr">
        <is>
          <t>Scenario set</t>
        </is>
      </c>
      <c r="F1" t="inlineStr">
        <is>
          <t>Task ID</t>
        </is>
      </c>
      <c r="G1" t="inlineStr">
        <is>
          <t>Decision option</t>
        </is>
      </c>
      <c r="H1" t="inlineStr">
        <is>
          <t>Authorise option</t>
        </is>
      </c>
      <c r="I1" t="inlineStr">
        <is>
          <t>Ease deciding 1-7</t>
        </is>
      </c>
      <c r="J1" t="inlineStr">
        <is>
          <t>Decision confidence 1-7</t>
        </is>
      </c>
      <c r="K1" t="inlineStr">
        <is>
          <t>ASQ1 ease 1-7</t>
        </is>
      </c>
      <c r="L1" t="inlineStr">
        <is>
          <t>ASQ2 time 1-7</t>
        </is>
      </c>
      <c r="M1" t="inlineStr">
        <is>
          <t>ASQ3 information 1-7</t>
        </is>
      </c>
      <c r="N1" t="inlineStr">
        <is>
          <t>Task time seconds</t>
        </is>
      </c>
      <c r="O1" t="inlineStr">
        <is>
          <t>Notes</t>
        </is>
      </c>
      <c r="P1" t="inlineStr">
        <is>
          <t>Decision score 0-2</t>
        </is>
      </c>
      <c r="Q1" t="inlineStr">
        <is>
          <t>Authorisation score 0-1</t>
        </is>
      </c>
      <c r="R1" t="inlineStr">
        <is>
          <t>ASQ mean</t>
        </is>
      </c>
    </row>
    <row r="2">
      <c r="A2" t="inlineStr">
        <is>
          <t/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/>
        </is>
      </c>
      <c r="K2" t="inlineStr">
        <is>
          <t/>
        </is>
      </c>
      <c r="L2" t="inlineStr">
        <is>
          <t/>
        </is>
      </c>
      <c r="M2" t="inlineStr">
        <is>
          <t/>
        </is>
      </c>
      <c r="N2" t="inlineStr">
        <is>
          <t/>
        </is>
      </c>
      <c r="O2" t="inlineStr">
        <is>
          <t/>
        </is>
      </c>
      <c r="P2">
        <f>IF(F2="","",IF(G2=XLOOKUP(F2,'Task Scoring Key'!$A:$A,'Task Scoring Key'!$C:$C,""),2,IF(G2=XLOOKUP(F2,'Task Scoring Key'!$A:$A,'Task Scoring Key'!$D:$D,""),1,0)))</f>
      </c>
      <c r="Q2">
        <f>IF(F2="","",IF(H2=XLOOKUP(F2,'Task Scoring Key'!$A:$A,'Task Scoring Key'!$E:$E,""),1,0))</f>
      </c>
      <c r="R2">
        <f>IF(COUNTA(K2:M2)=0,"",AVERAGE(K2:M2))</f>
      </c>
    </row>
    <row r="3">
      <c r="A3" t="inlineStr">
        <is>
          <t/>
        </is>
      </c>
      <c r="B3" t="inlineStr">
        <is>
          <t/>
        </is>
      </c>
      <c r="C3" t="inlineStr">
        <is>
          <t/>
        </is>
      </c>
      <c r="D3" t="inlineStr">
        <is>
          <t/>
        </is>
      </c>
      <c r="E3" t="inlineStr">
        <is>
          <t/>
        </is>
      </c>
      <c r="F3" t="inlineStr">
        <is>
          <t/>
        </is>
      </c>
      <c r="G3" t="inlineStr">
        <is>
          <t/>
        </is>
      </c>
      <c r="H3" t="inlineStr">
        <is>
          <t/>
        </is>
      </c>
      <c r="I3" t="inlineStr">
        <is>
          <t/>
        </is>
      </c>
      <c r="J3" t="inlineStr">
        <is>
          <t/>
        </is>
      </c>
      <c r="K3" t="inlineStr">
        <is>
          <t/>
        </is>
      </c>
      <c r="L3" t="inlineStr">
        <is>
          <t/>
        </is>
      </c>
      <c r="M3" t="inlineStr">
        <is>
          <t/>
        </is>
      </c>
      <c r="N3" t="inlineStr">
        <is>
          <t/>
        </is>
      </c>
      <c r="O3" t="inlineStr">
        <is>
          <t/>
        </is>
      </c>
      <c r="P3">
        <f>IF(F3="","",IF(G3=XLOOKUP(F3,'Task Scoring Key'!$A:$A,'Task Scoring Key'!$C:$C,""),2,IF(G3=XLOOKUP(F3,'Task Scoring Key'!$A:$A,'Task Scoring Key'!$D:$D,""),1,0)))</f>
      </c>
      <c r="Q3">
        <f>IF(F3="","",IF(H3=XLOOKUP(F3,'Task Scoring Key'!$A:$A,'Task Scoring Key'!$E:$E,""),1,0))</f>
      </c>
      <c r="R3">
        <f>IF(COUNTA(K3:M3)=0,"",AVERAGE(K3:M3))</f>
      </c>
    </row>
    <row r="4">
      <c r="A4" t="inlineStr">
        <is>
          <t/>
        </is>
      </c>
      <c r="B4" t="inlineStr">
        <is>
          <t/>
        </is>
      </c>
      <c r="C4" t="inlineStr">
        <is>
          <t/>
        </is>
      </c>
      <c r="D4" t="inlineStr">
        <is>
          <t/>
        </is>
      </c>
      <c r="E4" t="inlineStr">
        <is>
          <t/>
        </is>
      </c>
      <c r="F4" t="inlineStr">
        <is>
          <t/>
        </is>
      </c>
      <c r="G4" t="inlineStr">
        <is>
          <t/>
        </is>
      </c>
      <c r="H4" t="inlineStr">
        <is>
          <t/>
        </is>
      </c>
      <c r="I4" t="inlineStr">
        <is>
          <t/>
        </is>
      </c>
      <c r="J4" t="inlineStr">
        <is>
          <t/>
        </is>
      </c>
      <c r="K4" t="inlineStr">
        <is>
          <t/>
        </is>
      </c>
      <c r="L4" t="inlineStr">
        <is>
          <t/>
        </is>
      </c>
      <c r="M4" t="inlineStr">
        <is>
          <t/>
        </is>
      </c>
      <c r="N4" t="inlineStr">
        <is>
          <t/>
        </is>
      </c>
      <c r="O4" t="inlineStr">
        <is>
          <t/>
        </is>
      </c>
      <c r="P4">
        <f>IF(F4="","",IF(G4=XLOOKUP(F4,'Task Scoring Key'!$A:$A,'Task Scoring Key'!$C:$C,""),2,IF(G4=XLOOKUP(F4,'Task Scoring Key'!$A:$A,'Task Scoring Key'!$D:$D,""),1,0)))</f>
      </c>
      <c r="Q4">
        <f>IF(F4="","",IF(H4=XLOOKUP(F4,'Task Scoring Key'!$A:$A,'Task Scoring Key'!$E:$E,""),1,0))</f>
      </c>
      <c r="R4">
        <f>IF(COUNTA(K4:M4)=0,"",AVERAGE(K4:M4))</f>
      </c>
    </row>
    <row r="5">
      <c r="A5" t="inlineStr">
        <is>
          <t/>
        </is>
      </c>
      <c r="B5" t="inlineStr">
        <is>
          <t/>
        </is>
      </c>
      <c r="C5" t="inlineStr">
        <is>
          <t/>
        </is>
      </c>
      <c r="D5" t="inlineStr">
        <is>
          <t/>
        </is>
      </c>
      <c r="E5" t="inlineStr">
        <is>
          <t/>
        </is>
      </c>
      <c r="F5" t="inlineStr">
        <is>
          <t/>
        </is>
      </c>
      <c r="G5" t="inlineStr">
        <is>
          <t/>
        </is>
      </c>
      <c r="H5" t="inlineStr">
        <is>
          <t/>
        </is>
      </c>
      <c r="I5" t="inlineStr">
        <is>
          <t/>
        </is>
      </c>
      <c r="J5" t="inlineStr">
        <is>
          <t/>
        </is>
      </c>
      <c r="K5" t="inlineStr">
        <is>
          <t/>
        </is>
      </c>
      <c r="L5" t="inlineStr">
        <is>
          <t/>
        </is>
      </c>
      <c r="M5" t="inlineStr">
        <is>
          <t/>
        </is>
      </c>
      <c r="N5" t="inlineStr">
        <is>
          <t/>
        </is>
      </c>
      <c r="O5" t="inlineStr">
        <is>
          <t/>
        </is>
      </c>
      <c r="P5">
        <f>IF(F5="","",IF(G5=XLOOKUP(F5,'Task Scoring Key'!$A:$A,'Task Scoring Key'!$C:$C,""),2,IF(G5=XLOOKUP(F5,'Task Scoring Key'!$A:$A,'Task Scoring Key'!$D:$D,""),1,0)))</f>
      </c>
      <c r="Q5">
        <f>IF(F5="","",IF(H5=XLOOKUP(F5,'Task Scoring Key'!$A:$A,'Task Scoring Key'!$E:$E,""),1,0))</f>
      </c>
      <c r="R5">
        <f>IF(COUNTA(K5:M5)=0,"",AVERAGE(K5:M5))</f>
      </c>
    </row>
    <row r="6">
      <c r="A6" t="inlineStr">
        <is>
          <t/>
        </is>
      </c>
      <c r="B6" t="inlineStr">
        <is>
          <t/>
        </is>
      </c>
      <c r="C6" t="inlineStr">
        <is>
          <t/>
        </is>
      </c>
      <c r="D6" t="inlineStr">
        <is>
          <t/>
        </is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/>
        </is>
      </c>
      <c r="K6" t="inlineStr">
        <is>
          <t/>
        </is>
      </c>
      <c r="L6" t="inlineStr">
        <is>
          <t/>
        </is>
      </c>
      <c r="M6" t="inlineStr">
        <is>
          <t/>
        </is>
      </c>
      <c r="N6" t="inlineStr">
        <is>
          <t/>
        </is>
      </c>
      <c r="O6" t="inlineStr">
        <is>
          <t/>
        </is>
      </c>
      <c r="P6">
        <f>IF(F6="","",IF(G6=XLOOKUP(F6,'Task Scoring Key'!$A:$A,'Task Scoring Key'!$C:$C,""),2,IF(G6=XLOOKUP(F6,'Task Scoring Key'!$A:$A,'Task Scoring Key'!$D:$D,""),1,0)))</f>
      </c>
      <c r="Q6">
        <f>IF(F6="","",IF(H6=XLOOKUP(F6,'Task Scoring Key'!$A:$A,'Task Scoring Key'!$E:$E,""),1,0))</f>
      </c>
      <c r="R6">
        <f>IF(COUNTA(K6:M6)=0,"",AVERAGE(K6:M6))</f>
      </c>
    </row>
    <row r="7">
      <c r="A7" t="inlineStr">
        <is>
          <t/>
        </is>
      </c>
      <c r="B7" t="inlineStr">
        <is>
          <t/>
        </is>
      </c>
      <c r="C7" t="inlineStr">
        <is>
          <t/>
        </is>
      </c>
      <c r="D7" t="inlineStr">
        <is>
          <t/>
        </is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/>
        </is>
      </c>
      <c r="K7" t="inlineStr">
        <is>
          <t/>
        </is>
      </c>
      <c r="L7" t="inlineStr">
        <is>
          <t/>
        </is>
      </c>
      <c r="M7" t="inlineStr">
        <is>
          <t/>
        </is>
      </c>
      <c r="N7" t="inlineStr">
        <is>
          <t/>
        </is>
      </c>
      <c r="O7" t="inlineStr">
        <is>
          <t/>
        </is>
      </c>
      <c r="P7">
        <f>IF(F7="","",IF(G7=XLOOKUP(F7,'Task Scoring Key'!$A:$A,'Task Scoring Key'!$C:$C,""),2,IF(G7=XLOOKUP(F7,'Task Scoring Key'!$A:$A,'Task Scoring Key'!$D:$D,""),1,0)))</f>
      </c>
      <c r="Q7">
        <f>IF(F7="","",IF(H7=XLOOKUP(F7,'Task Scoring Key'!$A:$A,'Task Scoring Key'!$E:$E,""),1,0))</f>
      </c>
      <c r="R7">
        <f>IF(COUNTA(K7:M7)=0,"",AVERAGE(K7:M7))</f>
      </c>
    </row>
    <row r="8">
      <c r="A8" t="inlineStr">
        <is>
          <t/>
        </is>
      </c>
      <c r="B8" t="inlineStr">
        <is>
          <t/>
        </is>
      </c>
      <c r="C8" t="inlineStr">
        <is>
          <t/>
        </is>
      </c>
      <c r="D8" t="inlineStr">
        <is>
          <t/>
        </is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/>
        </is>
      </c>
      <c r="K8" t="inlineStr">
        <is>
          <t/>
        </is>
      </c>
      <c r="L8" t="inlineStr">
        <is>
          <t/>
        </is>
      </c>
      <c r="M8" t="inlineStr">
        <is>
          <t/>
        </is>
      </c>
      <c r="N8" t="inlineStr">
        <is>
          <t/>
        </is>
      </c>
      <c r="O8" t="inlineStr">
        <is>
          <t/>
        </is>
      </c>
      <c r="P8">
        <f>IF(F8="","",IF(G8=XLOOKUP(F8,'Task Scoring Key'!$A:$A,'Task Scoring Key'!$C:$C,""),2,IF(G8=XLOOKUP(F8,'Task Scoring Key'!$A:$A,'Task Scoring Key'!$D:$D,""),1,0)))</f>
      </c>
      <c r="Q8">
        <f>IF(F8="","",IF(H8=XLOOKUP(F8,'Task Scoring Key'!$A:$A,'Task Scoring Key'!$E:$E,""),1,0))</f>
      </c>
      <c r="R8">
        <f>IF(COUNTA(K8:M8)=0,"",AVERAGE(K8:M8))</f>
      </c>
    </row>
    <row r="9">
      <c r="A9" t="inlineStr">
        <is>
          <t/>
        </is>
      </c>
      <c r="B9" t="inlineStr">
        <is>
          <t/>
        </is>
      </c>
      <c r="C9" t="inlineStr">
        <is>
          <t/>
        </is>
      </c>
      <c r="D9" t="inlineStr">
        <is>
          <t/>
        </is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/>
        </is>
      </c>
      <c r="K9" t="inlineStr">
        <is>
          <t/>
        </is>
      </c>
      <c r="L9" t="inlineStr">
        <is>
          <t/>
        </is>
      </c>
      <c r="M9" t="inlineStr">
        <is>
          <t/>
        </is>
      </c>
      <c r="N9" t="inlineStr">
        <is>
          <t/>
        </is>
      </c>
      <c r="O9" t="inlineStr">
        <is>
          <t/>
        </is>
      </c>
      <c r="P9">
        <f>IF(F9="","",IF(G9=XLOOKUP(F9,'Task Scoring Key'!$A:$A,'Task Scoring Key'!$C:$C,""),2,IF(G9=XLOOKUP(F9,'Task Scoring Key'!$A:$A,'Task Scoring Key'!$D:$D,""),1,0)))</f>
      </c>
      <c r="Q9">
        <f>IF(F9="","",IF(H9=XLOOKUP(F9,'Task Scoring Key'!$A:$A,'Task Scoring Key'!$E:$E,""),1,0))</f>
      </c>
      <c r="R9">
        <f>IF(COUNTA(K9:M9)=0,"",AVERAGE(K9:M9))</f>
      </c>
    </row>
    <row r="10">
      <c r="A10" t="inlineStr">
        <is>
          <t/>
        </is>
      </c>
      <c r="B10" t="inlineStr">
        <is>
          <t/>
        </is>
      </c>
      <c r="C10" t="inlineStr">
        <is>
          <t/>
        </is>
      </c>
      <c r="D10" t="inlineStr">
        <is>
          <t/>
        </is>
      </c>
      <c r="E10" t="inlineStr">
        <is>
          <t/>
        </is>
      </c>
      <c r="F10" t="inlineStr">
        <is>
          <t/>
        </is>
      </c>
      <c r="G10" t="inlineStr">
        <is>
          <t/>
        </is>
      </c>
      <c r="H10" t="inlineStr">
        <is>
          <t/>
        </is>
      </c>
      <c r="I10" t="inlineStr">
        <is>
          <t/>
        </is>
      </c>
      <c r="J10" t="inlineStr">
        <is>
          <t/>
        </is>
      </c>
      <c r="K10" t="inlineStr">
        <is>
          <t/>
        </is>
      </c>
      <c r="L10" t="inlineStr">
        <is>
          <t/>
        </is>
      </c>
      <c r="M10" t="inlineStr">
        <is>
          <t/>
        </is>
      </c>
      <c r="N10" t="inlineStr">
        <is>
          <t/>
        </is>
      </c>
      <c r="O10" t="inlineStr">
        <is>
          <t/>
        </is>
      </c>
      <c r="P10">
        <f>IF(F10="","",IF(G10=XLOOKUP(F10,'Task Scoring Key'!$A:$A,'Task Scoring Key'!$C:$C,""),2,IF(G10=XLOOKUP(F10,'Task Scoring Key'!$A:$A,'Task Scoring Key'!$D:$D,""),1,0)))</f>
      </c>
      <c r="Q10">
        <f>IF(F10="","",IF(H10=XLOOKUP(F10,'Task Scoring Key'!$A:$A,'Task Scoring Key'!$E:$E,""),1,0))</f>
      </c>
      <c r="R10">
        <f>IF(COUNTA(K10:M10)=0,"",AVERAGE(K10:M10))</f>
      </c>
    </row>
    <row r="11">
      <c r="A11" t="inlineStr">
        <is>
          <t/>
        </is>
      </c>
      <c r="B11" t="inlineStr">
        <is>
          <t/>
        </is>
      </c>
      <c r="C11" t="inlineStr">
        <is>
          <t/>
        </is>
      </c>
      <c r="D11" t="inlineStr">
        <is>
          <t/>
        </is>
      </c>
      <c r="E11" t="inlineStr">
        <is>
          <t/>
        </is>
      </c>
      <c r="F11" t="inlineStr">
        <is>
          <t/>
        </is>
      </c>
      <c r="G11" t="inlineStr">
        <is>
          <t/>
        </is>
      </c>
      <c r="H11" t="inlineStr">
        <is>
          <t/>
        </is>
      </c>
      <c r="I11" t="inlineStr">
        <is>
          <t/>
        </is>
      </c>
      <c r="J11" t="inlineStr">
        <is>
          <t/>
        </is>
      </c>
      <c r="K11" t="inlineStr">
        <is>
          <t/>
        </is>
      </c>
      <c r="L11" t="inlineStr">
        <is>
          <t/>
        </is>
      </c>
      <c r="M11" t="inlineStr">
        <is>
          <t/>
        </is>
      </c>
      <c r="N11" t="inlineStr">
        <is>
          <t/>
        </is>
      </c>
      <c r="O11" t="inlineStr">
        <is>
          <t/>
        </is>
      </c>
      <c r="P11">
        <f>IF(F11="","",IF(G11=XLOOKUP(F11,'Task Scoring Key'!$A:$A,'Task Scoring Key'!$C:$C,""),2,IF(G11=XLOOKUP(F11,'Task Scoring Key'!$A:$A,'Task Scoring Key'!$D:$D,""),1,0)))</f>
      </c>
      <c r="Q11">
        <f>IF(F11="","",IF(H11=XLOOKUP(F11,'Task Scoring Key'!$A:$A,'Task Scoring Key'!$E:$E,""),1,0))</f>
      </c>
      <c r="R11">
        <f>IF(COUNTA(K11:M11)=0,"",AVERAGE(K11:M11))</f>
      </c>
    </row>
    <row r="12">
      <c r="A12" t="inlineStr">
        <is>
          <t/>
        </is>
      </c>
      <c r="B12" t="inlineStr">
        <is>
          <t/>
        </is>
      </c>
      <c r="C12" t="inlineStr">
        <is>
          <t/>
        </is>
      </c>
      <c r="D12" t="inlineStr">
        <is>
          <t/>
        </is>
      </c>
      <c r="E12" t="inlineStr">
        <is>
          <t/>
        </is>
      </c>
      <c r="F12" t="inlineStr">
        <is>
          <t/>
        </is>
      </c>
      <c r="G12" t="inlineStr">
        <is>
          <t/>
        </is>
      </c>
      <c r="H12" t="inlineStr">
        <is>
          <t/>
        </is>
      </c>
      <c r="I12" t="inlineStr">
        <is>
          <t/>
        </is>
      </c>
      <c r="J12" t="inlineStr">
        <is>
          <t/>
        </is>
      </c>
      <c r="K12" t="inlineStr">
        <is>
          <t/>
        </is>
      </c>
      <c r="L12" t="inlineStr">
        <is>
          <t/>
        </is>
      </c>
      <c r="M12" t="inlineStr">
        <is>
          <t/>
        </is>
      </c>
      <c r="N12" t="inlineStr">
        <is>
          <t/>
        </is>
      </c>
      <c r="O12" t="inlineStr">
        <is>
          <t/>
        </is>
      </c>
      <c r="P12">
        <f>IF(F12="","",IF(G12=XLOOKUP(F12,'Task Scoring Key'!$A:$A,'Task Scoring Key'!$C:$C,""),2,IF(G12=XLOOKUP(F12,'Task Scoring Key'!$A:$A,'Task Scoring Key'!$D:$D,""),1,0)))</f>
      </c>
      <c r="Q12">
        <f>IF(F12="","",IF(H12=XLOOKUP(F12,'Task Scoring Key'!$A:$A,'Task Scoring Key'!$E:$E,""),1,0))</f>
      </c>
      <c r="R12">
        <f>IF(COUNTA(K12:M12)=0,"",AVERAGE(K12:M12))</f>
      </c>
    </row>
    <row r="13">
      <c r="A13" t="inlineStr">
        <is>
          <t/>
        </is>
      </c>
      <c r="B13" t="inlineStr">
        <is>
          <t/>
        </is>
      </c>
      <c r="C13" t="inlineStr">
        <is>
          <t/>
        </is>
      </c>
      <c r="D13" t="inlineStr">
        <is>
          <t/>
        </is>
      </c>
      <c r="E13" t="inlineStr">
        <is>
          <t/>
        </is>
      </c>
      <c r="F13" t="inlineStr">
        <is>
          <t/>
        </is>
      </c>
      <c r="G13" t="inlineStr">
        <is>
          <t/>
        </is>
      </c>
      <c r="H13" t="inlineStr">
        <is>
          <t/>
        </is>
      </c>
      <c r="I13" t="inlineStr">
        <is>
          <t/>
        </is>
      </c>
      <c r="J13" t="inlineStr">
        <is>
          <t/>
        </is>
      </c>
      <c r="K13" t="inlineStr">
        <is>
          <t/>
        </is>
      </c>
      <c r="L13" t="inlineStr">
        <is>
          <t/>
        </is>
      </c>
      <c r="M13" t="inlineStr">
        <is>
          <t/>
        </is>
      </c>
      <c r="N13" t="inlineStr">
        <is>
          <t/>
        </is>
      </c>
      <c r="O13" t="inlineStr">
        <is>
          <t/>
        </is>
      </c>
      <c r="P13">
        <f>IF(F13="","",IF(G13=XLOOKUP(F13,'Task Scoring Key'!$A:$A,'Task Scoring Key'!$C:$C,""),2,IF(G13=XLOOKUP(F13,'Task Scoring Key'!$A:$A,'Task Scoring Key'!$D:$D,""),1,0)))</f>
      </c>
      <c r="Q13">
        <f>IF(F13="","",IF(H13=XLOOKUP(F13,'Task Scoring Key'!$A:$A,'Task Scoring Key'!$E:$E,""),1,0))</f>
      </c>
      <c r="R13">
        <f>IF(COUNTA(K13:M13)=0,"",AVERAGE(K13:M13))</f>
      </c>
    </row>
    <row r="14">
      <c r="A14" t="inlineStr">
        <is>
          <t/>
        </is>
      </c>
      <c r="B14" t="inlineStr">
        <is>
          <t/>
        </is>
      </c>
      <c r="C14" t="inlineStr">
        <is>
          <t/>
        </is>
      </c>
      <c r="D14" t="inlineStr">
        <is>
          <t/>
        </is>
      </c>
      <c r="E14" t="inlineStr">
        <is>
          <t/>
        </is>
      </c>
      <c r="F14" t="inlineStr">
        <is>
          <t/>
        </is>
      </c>
      <c r="G14" t="inlineStr">
        <is>
          <t/>
        </is>
      </c>
      <c r="H14" t="inlineStr">
        <is>
          <t/>
        </is>
      </c>
      <c r="I14" t="inlineStr">
        <is>
          <t/>
        </is>
      </c>
      <c r="J14" t="inlineStr">
        <is>
          <t/>
        </is>
      </c>
      <c r="K14" t="inlineStr">
        <is>
          <t/>
        </is>
      </c>
      <c r="L14" t="inlineStr">
        <is>
          <t/>
        </is>
      </c>
      <c r="M14" t="inlineStr">
        <is>
          <t/>
        </is>
      </c>
      <c r="N14" t="inlineStr">
        <is>
          <t/>
        </is>
      </c>
      <c r="O14" t="inlineStr">
        <is>
          <t/>
        </is>
      </c>
      <c r="P14">
        <f>IF(F14="","",IF(G14=XLOOKUP(F14,'Task Scoring Key'!$A:$A,'Task Scoring Key'!$C:$C,""),2,IF(G14=XLOOKUP(F14,'Task Scoring Key'!$A:$A,'Task Scoring Key'!$D:$D,""),1,0)))</f>
      </c>
      <c r="Q14">
        <f>IF(F14="","",IF(H14=XLOOKUP(F14,'Task Scoring Key'!$A:$A,'Task Scoring Key'!$E:$E,""),1,0))</f>
      </c>
      <c r="R14">
        <f>IF(COUNTA(K14:M14)=0,"",AVERAGE(K14:M14))</f>
      </c>
    </row>
    <row r="15">
      <c r="A15" t="inlineStr">
        <is>
          <t/>
        </is>
      </c>
      <c r="B15" t="inlineStr">
        <is>
          <t/>
        </is>
      </c>
      <c r="C15" t="inlineStr">
        <is>
          <t/>
        </is>
      </c>
      <c r="D15" t="inlineStr">
        <is>
          <t/>
        </is>
      </c>
      <c r="E15" t="inlineStr">
        <is>
          <t/>
        </is>
      </c>
      <c r="F15" t="inlineStr">
        <is>
          <t/>
        </is>
      </c>
      <c r="G15" t="inlineStr">
        <is>
          <t/>
        </is>
      </c>
      <c r="H15" t="inlineStr">
        <is>
          <t/>
        </is>
      </c>
      <c r="I15" t="inlineStr">
        <is>
          <t/>
        </is>
      </c>
      <c r="J15" t="inlineStr">
        <is>
          <t/>
        </is>
      </c>
      <c r="K15" t="inlineStr">
        <is>
          <t/>
        </is>
      </c>
      <c r="L15" t="inlineStr">
        <is>
          <t/>
        </is>
      </c>
      <c r="M15" t="inlineStr">
        <is>
          <t/>
        </is>
      </c>
      <c r="N15" t="inlineStr">
        <is>
          <t/>
        </is>
      </c>
      <c r="O15" t="inlineStr">
        <is>
          <t/>
        </is>
      </c>
      <c r="P15">
        <f>IF(F15="","",IF(G15=XLOOKUP(F15,'Task Scoring Key'!$A:$A,'Task Scoring Key'!$C:$C,""),2,IF(G15=XLOOKUP(F15,'Task Scoring Key'!$A:$A,'Task Scoring Key'!$D:$D,""),1,0)))</f>
      </c>
      <c r="Q15">
        <f>IF(F15="","",IF(H15=XLOOKUP(F15,'Task Scoring Key'!$A:$A,'Task Scoring Key'!$E:$E,""),1,0))</f>
      </c>
      <c r="R15">
        <f>IF(COUNTA(K15:M15)=0,"",AVERAGE(K15:M15))</f>
      </c>
    </row>
    <row r="16">
      <c r="A16" t="inlineStr">
        <is>
          <t/>
        </is>
      </c>
      <c r="B16" t="inlineStr">
        <is>
          <t/>
        </is>
      </c>
      <c r="C16" t="inlineStr">
        <is>
          <t/>
        </is>
      </c>
      <c r="D16" t="inlineStr">
        <is>
          <t/>
        </is>
      </c>
      <c r="E16" t="inlineStr">
        <is>
          <t/>
        </is>
      </c>
      <c r="F16" t="inlineStr">
        <is>
          <t/>
        </is>
      </c>
      <c r="G16" t="inlineStr">
        <is>
          <t/>
        </is>
      </c>
      <c r="H16" t="inlineStr">
        <is>
          <t/>
        </is>
      </c>
      <c r="I16" t="inlineStr">
        <is>
          <t/>
        </is>
      </c>
      <c r="J16" t="inlineStr">
        <is>
          <t/>
        </is>
      </c>
      <c r="K16" t="inlineStr">
        <is>
          <t/>
        </is>
      </c>
      <c r="L16" t="inlineStr">
        <is>
          <t/>
        </is>
      </c>
      <c r="M16" t="inlineStr">
        <is>
          <t/>
        </is>
      </c>
      <c r="N16" t="inlineStr">
        <is>
          <t/>
        </is>
      </c>
      <c r="O16" t="inlineStr">
        <is>
          <t/>
        </is>
      </c>
      <c r="P16">
        <f>IF(F16="","",IF(G16=XLOOKUP(F16,'Task Scoring Key'!$A:$A,'Task Scoring Key'!$C:$C,""),2,IF(G16=XLOOKUP(F16,'Task Scoring Key'!$A:$A,'Task Scoring Key'!$D:$D,""),1,0)))</f>
      </c>
      <c r="Q16">
        <f>IF(F16="","",IF(H16=XLOOKUP(F16,'Task Scoring Key'!$A:$A,'Task Scoring Key'!$E:$E,""),1,0))</f>
      </c>
      <c r="R16">
        <f>IF(COUNTA(K16:M16)=0,"",AVERAGE(K16:M16))</f>
      </c>
    </row>
    <row r="17">
      <c r="A17" t="inlineStr">
        <is>
          <t/>
        </is>
      </c>
      <c r="B17" t="inlineStr">
        <is>
          <t/>
        </is>
      </c>
      <c r="C17" t="inlineStr">
        <is>
          <t/>
        </is>
      </c>
      <c r="D17" t="inlineStr">
        <is>
          <t/>
        </is>
      </c>
      <c r="E17" t="inlineStr">
        <is>
          <t/>
        </is>
      </c>
      <c r="F17" t="inlineStr">
        <is>
          <t/>
        </is>
      </c>
      <c r="G17" t="inlineStr">
        <is>
          <t/>
        </is>
      </c>
      <c r="H17" t="inlineStr">
        <is>
          <t/>
        </is>
      </c>
      <c r="I17" t="inlineStr">
        <is>
          <t/>
        </is>
      </c>
      <c r="J17" t="inlineStr">
        <is>
          <t/>
        </is>
      </c>
      <c r="K17" t="inlineStr">
        <is>
          <t/>
        </is>
      </c>
      <c r="L17" t="inlineStr">
        <is>
          <t/>
        </is>
      </c>
      <c r="M17" t="inlineStr">
        <is>
          <t/>
        </is>
      </c>
      <c r="N17" t="inlineStr">
        <is>
          <t/>
        </is>
      </c>
      <c r="O17" t="inlineStr">
        <is>
          <t/>
        </is>
      </c>
      <c r="P17">
        <f>IF(F17="","",IF(G17=XLOOKUP(F17,'Task Scoring Key'!$A:$A,'Task Scoring Key'!$C:$C,""),2,IF(G17=XLOOKUP(F17,'Task Scoring Key'!$A:$A,'Task Scoring Key'!$D:$D,""),1,0)))</f>
      </c>
      <c r="Q17">
        <f>IF(F17="","",IF(H17=XLOOKUP(F17,'Task Scoring Key'!$A:$A,'Task Scoring Key'!$E:$E,""),1,0))</f>
      </c>
      <c r="R17">
        <f>IF(COUNTA(K17:M17)=0,"",AVERAGE(K17:M17))</f>
      </c>
    </row>
    <row r="18">
      <c r="A18" t="inlineStr">
        <is>
          <t/>
        </is>
      </c>
      <c r="B18" t="inlineStr">
        <is>
          <t/>
        </is>
      </c>
      <c r="C18" t="inlineStr">
        <is>
          <t/>
        </is>
      </c>
      <c r="D18" t="inlineStr">
        <is>
          <t/>
        </is>
      </c>
      <c r="E18" t="inlineStr">
        <is>
          <t/>
        </is>
      </c>
      <c r="F18" t="inlineStr">
        <is>
          <t/>
        </is>
      </c>
      <c r="G18" t="inlineStr">
        <is>
          <t/>
        </is>
      </c>
      <c r="H18" t="inlineStr">
        <is>
          <t/>
        </is>
      </c>
      <c r="I18" t="inlineStr">
        <is>
          <t/>
        </is>
      </c>
      <c r="J18" t="inlineStr">
        <is>
          <t/>
        </is>
      </c>
      <c r="K18" t="inlineStr">
        <is>
          <t/>
        </is>
      </c>
      <c r="L18" t="inlineStr">
        <is>
          <t/>
        </is>
      </c>
      <c r="M18" t="inlineStr">
        <is>
          <t/>
        </is>
      </c>
      <c r="N18" t="inlineStr">
        <is>
          <t/>
        </is>
      </c>
      <c r="O18" t="inlineStr">
        <is>
          <t/>
        </is>
      </c>
      <c r="P18">
        <f>IF(F18="","",IF(G18=XLOOKUP(F18,'Task Scoring Key'!$A:$A,'Task Scoring Key'!$C:$C,""),2,IF(G18=XLOOKUP(F18,'Task Scoring Key'!$A:$A,'Task Scoring Key'!$D:$D,""),1,0)))</f>
      </c>
      <c r="Q18">
        <f>IF(F18="","",IF(H18=XLOOKUP(F18,'Task Scoring Key'!$A:$A,'Task Scoring Key'!$E:$E,""),1,0))</f>
      </c>
      <c r="R18">
        <f>IF(COUNTA(K18:M18)=0,"",AVERAGE(K18:M18))</f>
      </c>
    </row>
    <row r="19">
      <c r="A19" t="inlineStr">
        <is>
          <t/>
        </is>
      </c>
      <c r="B19" t="inlineStr">
        <is>
          <t/>
        </is>
      </c>
      <c r="C19" t="inlineStr">
        <is>
          <t/>
        </is>
      </c>
      <c r="D19" t="inlineStr">
        <is>
          <t/>
        </is>
      </c>
      <c r="E19" t="inlineStr">
        <is>
          <t/>
        </is>
      </c>
      <c r="F19" t="inlineStr">
        <is>
          <t/>
        </is>
      </c>
      <c r="G19" t="inlineStr">
        <is>
          <t/>
        </is>
      </c>
      <c r="H19" t="inlineStr">
        <is>
          <t/>
        </is>
      </c>
      <c r="I19" t="inlineStr">
        <is>
          <t/>
        </is>
      </c>
      <c r="J19" t="inlineStr">
        <is>
          <t/>
        </is>
      </c>
      <c r="K19" t="inlineStr">
        <is>
          <t/>
        </is>
      </c>
      <c r="L19" t="inlineStr">
        <is>
          <t/>
        </is>
      </c>
      <c r="M19" t="inlineStr">
        <is>
          <t/>
        </is>
      </c>
      <c r="N19" t="inlineStr">
        <is>
          <t/>
        </is>
      </c>
      <c r="O19" t="inlineStr">
        <is>
          <t/>
        </is>
      </c>
      <c r="P19">
        <f>IF(F19="","",IF(G19=XLOOKUP(F19,'Task Scoring Key'!$A:$A,'Task Scoring Key'!$C:$C,""),2,IF(G19=XLOOKUP(F19,'Task Scoring Key'!$A:$A,'Task Scoring Key'!$D:$D,""),1,0)))</f>
      </c>
      <c r="Q19">
        <f>IF(F19="","",IF(H19=XLOOKUP(F19,'Task Scoring Key'!$A:$A,'Task Scoring Key'!$E:$E,""),1,0))</f>
      </c>
      <c r="R19">
        <f>IF(COUNTA(K19:M19)=0,"",AVERAGE(K19:M19))</f>
      </c>
    </row>
    <row r="20">
      <c r="A20" t="inlineStr">
        <is>
          <t/>
        </is>
      </c>
      <c r="B20" t="inlineStr">
        <is>
          <t/>
        </is>
      </c>
      <c r="C20" t="inlineStr">
        <is>
          <t/>
        </is>
      </c>
      <c r="D20" t="inlineStr">
        <is>
          <t/>
        </is>
      </c>
      <c r="E20" t="inlineStr">
        <is>
          <t/>
        </is>
      </c>
      <c r="F20" t="inlineStr">
        <is>
          <t/>
        </is>
      </c>
      <c r="G20" t="inlineStr">
        <is>
          <t/>
        </is>
      </c>
      <c r="H20" t="inlineStr">
        <is>
          <t/>
        </is>
      </c>
      <c r="I20" t="inlineStr">
        <is>
          <t/>
        </is>
      </c>
      <c r="J20" t="inlineStr">
        <is>
          <t/>
        </is>
      </c>
      <c r="K20" t="inlineStr">
        <is>
          <t/>
        </is>
      </c>
      <c r="L20" t="inlineStr">
        <is>
          <t/>
        </is>
      </c>
      <c r="M20" t="inlineStr">
        <is>
          <t/>
        </is>
      </c>
      <c r="N20" t="inlineStr">
        <is>
          <t/>
        </is>
      </c>
      <c r="O20" t="inlineStr">
        <is>
          <t/>
        </is>
      </c>
      <c r="P20">
        <f>IF(F20="","",IF(G20=XLOOKUP(F20,'Task Scoring Key'!$A:$A,'Task Scoring Key'!$C:$C,""),2,IF(G20=XLOOKUP(F20,'Task Scoring Key'!$A:$A,'Task Scoring Key'!$D:$D,""),1,0)))</f>
      </c>
      <c r="Q20">
        <f>IF(F20="","",IF(H20=XLOOKUP(F20,'Task Scoring Key'!$A:$A,'Task Scoring Key'!$E:$E,""),1,0))</f>
      </c>
      <c r="R20">
        <f>IF(COUNTA(K20:M20)=0,"",AVERAGE(K20:M20))</f>
      </c>
    </row>
    <row r="21">
      <c r="A21" t="inlineStr">
        <is>
          <t/>
        </is>
      </c>
      <c r="B21" t="inlineStr">
        <is>
          <t/>
        </is>
      </c>
      <c r="C21" t="inlineStr">
        <is>
          <t/>
        </is>
      </c>
      <c r="D21" t="inlineStr">
        <is>
          <t/>
        </is>
      </c>
      <c r="E21" t="inlineStr">
        <is>
          <t/>
        </is>
      </c>
      <c r="F21" t="inlineStr">
        <is>
          <t/>
        </is>
      </c>
      <c r="G21" t="inlineStr">
        <is>
          <t/>
        </is>
      </c>
      <c r="H21" t="inlineStr">
        <is>
          <t/>
        </is>
      </c>
      <c r="I21" t="inlineStr">
        <is>
          <t/>
        </is>
      </c>
      <c r="J21" t="inlineStr">
        <is>
          <t/>
        </is>
      </c>
      <c r="K21" t="inlineStr">
        <is>
          <t/>
        </is>
      </c>
      <c r="L21" t="inlineStr">
        <is>
          <t/>
        </is>
      </c>
      <c r="M21" t="inlineStr">
        <is>
          <t/>
        </is>
      </c>
      <c r="N21" t="inlineStr">
        <is>
          <t/>
        </is>
      </c>
      <c r="O21" t="inlineStr">
        <is>
          <t/>
        </is>
      </c>
      <c r="P21">
        <f>IF(F21="","",IF(G21=XLOOKUP(F21,'Task Scoring Key'!$A:$A,'Task Scoring Key'!$C:$C,""),2,IF(G21=XLOOKUP(F21,'Task Scoring Key'!$A:$A,'Task Scoring Key'!$D:$D,""),1,0)))</f>
      </c>
      <c r="Q21">
        <f>IF(F21="","",IF(H21=XLOOKUP(F21,'Task Scoring Key'!$A:$A,'Task Scoring Key'!$E:$E,""),1,0))</f>
      </c>
      <c r="R21">
        <f>IF(COUNTA(K21:M21)=0,"",AVERAGE(K21:M21))</f>
      </c>
    </row>
    <row r="22">
      <c r="A22" t="inlineStr">
        <is>
          <t/>
        </is>
      </c>
      <c r="B22" t="inlineStr">
        <is>
          <t/>
        </is>
      </c>
      <c r="C22" t="inlineStr">
        <is>
          <t/>
        </is>
      </c>
      <c r="D22" t="inlineStr">
        <is>
          <t/>
        </is>
      </c>
      <c r="E22" t="inlineStr">
        <is>
          <t/>
        </is>
      </c>
      <c r="F22" t="inlineStr">
        <is>
          <t/>
        </is>
      </c>
      <c r="G22" t="inlineStr">
        <is>
          <t/>
        </is>
      </c>
      <c r="H22" t="inlineStr">
        <is>
          <t/>
        </is>
      </c>
      <c r="I22" t="inlineStr">
        <is>
          <t/>
        </is>
      </c>
      <c r="J22" t="inlineStr">
        <is>
          <t/>
        </is>
      </c>
      <c r="K22" t="inlineStr">
        <is>
          <t/>
        </is>
      </c>
      <c r="L22" t="inlineStr">
        <is>
          <t/>
        </is>
      </c>
      <c r="M22" t="inlineStr">
        <is>
          <t/>
        </is>
      </c>
      <c r="N22" t="inlineStr">
        <is>
          <t/>
        </is>
      </c>
      <c r="O22" t="inlineStr">
        <is>
          <t/>
        </is>
      </c>
      <c r="P22">
        <f>IF(F22="","",IF(G22=XLOOKUP(F22,'Task Scoring Key'!$A:$A,'Task Scoring Key'!$C:$C,""),2,IF(G22=XLOOKUP(F22,'Task Scoring Key'!$A:$A,'Task Scoring Key'!$D:$D,""),1,0)))</f>
      </c>
      <c r="Q22">
        <f>IF(F22="","",IF(H22=XLOOKUP(F22,'Task Scoring Key'!$A:$A,'Task Scoring Key'!$E:$E,""),1,0))</f>
      </c>
      <c r="R22">
        <f>IF(COUNTA(K22:M22)=0,"",AVERAGE(K22:M22))</f>
      </c>
    </row>
    <row r="23">
      <c r="A23" t="inlineStr">
        <is>
          <t/>
        </is>
      </c>
      <c r="B23" t="inlineStr">
        <is>
          <t/>
        </is>
      </c>
      <c r="C23" t="inlineStr">
        <is>
          <t/>
        </is>
      </c>
      <c r="D23" t="inlineStr">
        <is>
          <t/>
        </is>
      </c>
      <c r="E23" t="inlineStr">
        <is>
          <t/>
        </is>
      </c>
      <c r="F23" t="inlineStr">
        <is>
          <t/>
        </is>
      </c>
      <c r="G23" t="inlineStr">
        <is>
          <t/>
        </is>
      </c>
      <c r="H23" t="inlineStr">
        <is>
          <t/>
        </is>
      </c>
      <c r="I23" t="inlineStr">
        <is>
          <t/>
        </is>
      </c>
      <c r="J23" t="inlineStr">
        <is>
          <t/>
        </is>
      </c>
      <c r="K23" t="inlineStr">
        <is>
          <t/>
        </is>
      </c>
      <c r="L23" t="inlineStr">
        <is>
          <t/>
        </is>
      </c>
      <c r="M23" t="inlineStr">
        <is>
          <t/>
        </is>
      </c>
      <c r="N23" t="inlineStr">
        <is>
          <t/>
        </is>
      </c>
      <c r="O23" t="inlineStr">
        <is>
          <t/>
        </is>
      </c>
      <c r="P23">
        <f>IF(F23="","",IF(G23=XLOOKUP(F23,'Task Scoring Key'!$A:$A,'Task Scoring Key'!$C:$C,""),2,IF(G23=XLOOKUP(F23,'Task Scoring Key'!$A:$A,'Task Scoring Key'!$D:$D,""),1,0)))</f>
      </c>
      <c r="Q23">
        <f>IF(F23="","",IF(H23=XLOOKUP(F23,'Task Scoring Key'!$A:$A,'Task Scoring Key'!$E:$E,""),1,0))</f>
      </c>
      <c r="R23">
        <f>IF(COUNTA(K23:M23)=0,"",AVERAGE(K23:M23))</f>
      </c>
    </row>
    <row r="24">
      <c r="A24" t="inlineStr">
        <is>
          <t/>
        </is>
      </c>
      <c r="B24" t="inlineStr">
        <is>
          <t/>
        </is>
      </c>
      <c r="C24" t="inlineStr">
        <is>
          <t/>
        </is>
      </c>
      <c r="D24" t="inlineStr">
        <is>
          <t/>
        </is>
      </c>
      <c r="E24" t="inlineStr">
        <is>
          <t/>
        </is>
      </c>
      <c r="F24" t="inlineStr">
        <is>
          <t/>
        </is>
      </c>
      <c r="G24" t="inlineStr">
        <is>
          <t/>
        </is>
      </c>
      <c r="H24" t="inlineStr">
        <is>
          <t/>
        </is>
      </c>
      <c r="I24" t="inlineStr">
        <is>
          <t/>
        </is>
      </c>
      <c r="J24" t="inlineStr">
        <is>
          <t/>
        </is>
      </c>
      <c r="K24" t="inlineStr">
        <is>
          <t/>
        </is>
      </c>
      <c r="L24" t="inlineStr">
        <is>
          <t/>
        </is>
      </c>
      <c r="M24" t="inlineStr">
        <is>
          <t/>
        </is>
      </c>
      <c r="N24" t="inlineStr">
        <is>
          <t/>
        </is>
      </c>
      <c r="O24" t="inlineStr">
        <is>
          <t/>
        </is>
      </c>
      <c r="P24">
        <f>IF(F24="","",IF(G24=XLOOKUP(F24,'Task Scoring Key'!$A:$A,'Task Scoring Key'!$C:$C,""),2,IF(G24=XLOOKUP(F24,'Task Scoring Key'!$A:$A,'Task Scoring Key'!$D:$D,""),1,0)))</f>
      </c>
      <c r="Q24">
        <f>IF(F24="","",IF(H24=XLOOKUP(F24,'Task Scoring Key'!$A:$A,'Task Scoring Key'!$E:$E,""),1,0))</f>
      </c>
      <c r="R24">
        <f>IF(COUNTA(K24:M24)=0,"",AVERAGE(K24:M24))</f>
      </c>
    </row>
    <row r="25">
      <c r="A25" t="inlineStr">
        <is>
          <t/>
        </is>
      </c>
      <c r="B25" t="inlineStr">
        <is>
          <t/>
        </is>
      </c>
      <c r="C25" t="inlineStr">
        <is>
          <t/>
        </is>
      </c>
      <c r="D25" t="inlineStr">
        <is>
          <t/>
        </is>
      </c>
      <c r="E25" t="inlineStr">
        <is>
          <t/>
        </is>
      </c>
      <c r="F25" t="inlineStr">
        <is>
          <t/>
        </is>
      </c>
      <c r="G25" t="inlineStr">
        <is>
          <t/>
        </is>
      </c>
      <c r="H25" t="inlineStr">
        <is>
          <t/>
        </is>
      </c>
      <c r="I25" t="inlineStr">
        <is>
          <t/>
        </is>
      </c>
      <c r="J25" t="inlineStr">
        <is>
          <t/>
        </is>
      </c>
      <c r="K25" t="inlineStr">
        <is>
          <t/>
        </is>
      </c>
      <c r="L25" t="inlineStr">
        <is>
          <t/>
        </is>
      </c>
      <c r="M25" t="inlineStr">
        <is>
          <t/>
        </is>
      </c>
      <c r="N25" t="inlineStr">
        <is>
          <t/>
        </is>
      </c>
      <c r="O25" t="inlineStr">
        <is>
          <t/>
        </is>
      </c>
      <c r="P25">
        <f>IF(F25="","",IF(G25=XLOOKUP(F25,'Task Scoring Key'!$A:$A,'Task Scoring Key'!$C:$C,""),2,IF(G25=XLOOKUP(F25,'Task Scoring Key'!$A:$A,'Task Scoring Key'!$D:$D,""),1,0)))</f>
      </c>
      <c r="Q25">
        <f>IF(F25="","",IF(H25=XLOOKUP(F25,'Task Scoring Key'!$A:$A,'Task Scoring Key'!$E:$E,""),1,0))</f>
      </c>
      <c r="R25">
        <f>IF(COUNTA(K25:M25)=0,"",AVERAGE(K25:M25))</f>
      </c>
    </row>
    <row r="26">
      <c r="A26" t="inlineStr">
        <is>
          <t/>
        </is>
      </c>
      <c r="B26" t="inlineStr">
        <is>
          <t/>
        </is>
      </c>
      <c r="C26" t="inlineStr">
        <is>
          <t/>
        </is>
      </c>
      <c r="D26" t="inlineStr">
        <is>
          <t/>
        </is>
      </c>
      <c r="E26" t="inlineStr">
        <is>
          <t/>
        </is>
      </c>
      <c r="F26" t="inlineStr">
        <is>
          <t/>
        </is>
      </c>
      <c r="G26" t="inlineStr">
        <is>
          <t/>
        </is>
      </c>
      <c r="H26" t="inlineStr">
        <is>
          <t/>
        </is>
      </c>
      <c r="I26" t="inlineStr">
        <is>
          <t/>
        </is>
      </c>
      <c r="J26" t="inlineStr">
        <is>
          <t/>
        </is>
      </c>
      <c r="K26" t="inlineStr">
        <is>
          <t/>
        </is>
      </c>
      <c r="L26" t="inlineStr">
        <is>
          <t/>
        </is>
      </c>
      <c r="M26" t="inlineStr">
        <is>
          <t/>
        </is>
      </c>
      <c r="N26" t="inlineStr">
        <is>
          <t/>
        </is>
      </c>
      <c r="O26" t="inlineStr">
        <is>
          <t/>
        </is>
      </c>
      <c r="P26">
        <f>IF(F26="","",IF(G26=XLOOKUP(F26,'Task Scoring Key'!$A:$A,'Task Scoring Key'!$C:$C,""),2,IF(G26=XLOOKUP(F26,'Task Scoring Key'!$A:$A,'Task Scoring Key'!$D:$D,""),1,0)))</f>
      </c>
      <c r="Q26">
        <f>IF(F26="","",IF(H26=XLOOKUP(F26,'Task Scoring Key'!$A:$A,'Task Scoring Key'!$E:$E,""),1,0))</f>
      </c>
      <c r="R26">
        <f>IF(COUNTA(K26:M26)=0,"",AVERAGE(K26:M26))</f>
      </c>
    </row>
    <row r="27">
      <c r="A27" t="inlineStr">
        <is>
          <t/>
        </is>
      </c>
      <c r="B27" t="inlineStr">
        <is>
          <t/>
        </is>
      </c>
      <c r="C27" t="inlineStr">
        <is>
          <t/>
        </is>
      </c>
      <c r="D27" t="inlineStr">
        <is>
          <t/>
        </is>
      </c>
      <c r="E27" t="inlineStr">
        <is>
          <t/>
        </is>
      </c>
      <c r="F27" t="inlineStr">
        <is>
          <t/>
        </is>
      </c>
      <c r="G27" t="inlineStr">
        <is>
          <t/>
        </is>
      </c>
      <c r="H27" t="inlineStr">
        <is>
          <t/>
        </is>
      </c>
      <c r="I27" t="inlineStr">
        <is>
          <t/>
        </is>
      </c>
      <c r="J27" t="inlineStr">
        <is>
          <t/>
        </is>
      </c>
      <c r="K27" t="inlineStr">
        <is>
          <t/>
        </is>
      </c>
      <c r="L27" t="inlineStr">
        <is>
          <t/>
        </is>
      </c>
      <c r="M27" t="inlineStr">
        <is>
          <t/>
        </is>
      </c>
      <c r="N27" t="inlineStr">
        <is>
          <t/>
        </is>
      </c>
      <c r="O27" t="inlineStr">
        <is>
          <t/>
        </is>
      </c>
      <c r="P27">
        <f>IF(F27="","",IF(G27=XLOOKUP(F27,'Task Scoring Key'!$A:$A,'Task Scoring Key'!$C:$C,""),2,IF(G27=XLOOKUP(F27,'Task Scoring Key'!$A:$A,'Task Scoring Key'!$D:$D,""),1,0)))</f>
      </c>
      <c r="Q27">
        <f>IF(F27="","",IF(H27=XLOOKUP(F27,'Task Scoring Key'!$A:$A,'Task Scoring Key'!$E:$E,""),1,0))</f>
      </c>
      <c r="R27">
        <f>IF(COUNTA(K27:M27)=0,"",AVERAGE(K27:M27))</f>
      </c>
    </row>
    <row r="28">
      <c r="A28" t="inlineStr">
        <is>
          <t/>
        </is>
      </c>
      <c r="B28" t="inlineStr">
        <is>
          <t/>
        </is>
      </c>
      <c r="C28" t="inlineStr">
        <is>
          <t/>
        </is>
      </c>
      <c r="D28" t="inlineStr">
        <is>
          <t/>
        </is>
      </c>
      <c r="E28" t="inlineStr">
        <is>
          <t/>
        </is>
      </c>
      <c r="F28" t="inlineStr">
        <is>
          <t/>
        </is>
      </c>
      <c r="G28" t="inlineStr">
        <is>
          <t/>
        </is>
      </c>
      <c r="H28" t="inlineStr">
        <is>
          <t/>
        </is>
      </c>
      <c r="I28" t="inlineStr">
        <is>
          <t/>
        </is>
      </c>
      <c r="J28" t="inlineStr">
        <is>
          <t/>
        </is>
      </c>
      <c r="K28" t="inlineStr">
        <is>
          <t/>
        </is>
      </c>
      <c r="L28" t="inlineStr">
        <is>
          <t/>
        </is>
      </c>
      <c r="M28" t="inlineStr">
        <is>
          <t/>
        </is>
      </c>
      <c r="N28" t="inlineStr">
        <is>
          <t/>
        </is>
      </c>
      <c r="O28" t="inlineStr">
        <is>
          <t/>
        </is>
      </c>
      <c r="P28">
        <f>IF(F28="","",IF(G28=XLOOKUP(F28,'Task Scoring Key'!$A:$A,'Task Scoring Key'!$C:$C,""),2,IF(G28=XLOOKUP(F28,'Task Scoring Key'!$A:$A,'Task Scoring Key'!$D:$D,""),1,0)))</f>
      </c>
      <c r="Q28">
        <f>IF(F28="","",IF(H28=XLOOKUP(F28,'Task Scoring Key'!$A:$A,'Task Scoring Key'!$E:$E,""),1,0))</f>
      </c>
      <c r="R28">
        <f>IF(COUNTA(K28:M28)=0,"",AVERAGE(K28:M28))</f>
      </c>
    </row>
    <row r="29">
      <c r="A29" t="inlineStr">
        <is>
          <t/>
        </is>
      </c>
      <c r="B29" t="inlineStr">
        <is>
          <t/>
        </is>
      </c>
      <c r="C29" t="inlineStr">
        <is>
          <t/>
        </is>
      </c>
      <c r="D29" t="inlineStr">
        <is>
          <t/>
        </is>
      </c>
      <c r="E29" t="inlineStr">
        <is>
          <t/>
        </is>
      </c>
      <c r="F29" t="inlineStr">
        <is>
          <t/>
        </is>
      </c>
      <c r="G29" t="inlineStr">
        <is>
          <t/>
        </is>
      </c>
      <c r="H29" t="inlineStr">
        <is>
          <t/>
        </is>
      </c>
      <c r="I29" t="inlineStr">
        <is>
          <t/>
        </is>
      </c>
      <c r="J29" t="inlineStr">
        <is>
          <t/>
        </is>
      </c>
      <c r="K29" t="inlineStr">
        <is>
          <t/>
        </is>
      </c>
      <c r="L29" t="inlineStr">
        <is>
          <t/>
        </is>
      </c>
      <c r="M29" t="inlineStr">
        <is>
          <t/>
        </is>
      </c>
      <c r="N29" t="inlineStr">
        <is>
          <t/>
        </is>
      </c>
      <c r="O29" t="inlineStr">
        <is>
          <t/>
        </is>
      </c>
      <c r="P29">
        <f>IF(F29="","",IF(G29=XLOOKUP(F29,'Task Scoring Key'!$A:$A,'Task Scoring Key'!$C:$C,""),2,IF(G29=XLOOKUP(F29,'Task Scoring Key'!$A:$A,'Task Scoring Key'!$D:$D,""),1,0)))</f>
      </c>
      <c r="Q29">
        <f>IF(F29="","",IF(H29=XLOOKUP(F29,'Task Scoring Key'!$A:$A,'Task Scoring Key'!$E:$E,""),1,0))</f>
      </c>
      <c r="R29">
        <f>IF(COUNTA(K29:M29)=0,"",AVERAGE(K29:M29))</f>
      </c>
    </row>
    <row r="30">
      <c r="A30" t="inlineStr">
        <is>
          <t/>
        </is>
      </c>
      <c r="B30" t="inlineStr">
        <is>
          <t/>
        </is>
      </c>
      <c r="C30" t="inlineStr">
        <is>
          <t/>
        </is>
      </c>
      <c r="D30" t="inlineStr">
        <is>
          <t/>
        </is>
      </c>
      <c r="E30" t="inlineStr">
        <is>
          <t/>
        </is>
      </c>
      <c r="F30" t="inlineStr">
        <is>
          <t/>
        </is>
      </c>
      <c r="G30" t="inlineStr">
        <is>
          <t/>
        </is>
      </c>
      <c r="H30" t="inlineStr">
        <is>
          <t/>
        </is>
      </c>
      <c r="I30" t="inlineStr">
        <is>
          <t/>
        </is>
      </c>
      <c r="J30" t="inlineStr">
        <is>
          <t/>
        </is>
      </c>
      <c r="K30" t="inlineStr">
        <is>
          <t/>
        </is>
      </c>
      <c r="L30" t="inlineStr">
        <is>
          <t/>
        </is>
      </c>
      <c r="M30" t="inlineStr">
        <is>
          <t/>
        </is>
      </c>
      <c r="N30" t="inlineStr">
        <is>
          <t/>
        </is>
      </c>
      <c r="O30" t="inlineStr">
        <is>
          <t/>
        </is>
      </c>
      <c r="P30">
        <f>IF(F30="","",IF(G30=XLOOKUP(F30,'Task Scoring Key'!$A:$A,'Task Scoring Key'!$C:$C,""),2,IF(G30=XLOOKUP(F30,'Task Scoring Key'!$A:$A,'Task Scoring Key'!$D:$D,""),1,0)))</f>
      </c>
      <c r="Q30">
        <f>IF(F30="","",IF(H30=XLOOKUP(F30,'Task Scoring Key'!$A:$A,'Task Scoring Key'!$E:$E,""),1,0))</f>
      </c>
      <c r="R30">
        <f>IF(COUNTA(K30:M30)=0,"",AVERAGE(K30:M30))</f>
      </c>
    </row>
    <row r="31">
      <c r="A31" t="inlineStr">
        <is>
          <t/>
        </is>
      </c>
      <c r="B31" t="inlineStr">
        <is>
          <t/>
        </is>
      </c>
      <c r="C31" t="inlineStr">
        <is>
          <t/>
        </is>
      </c>
      <c r="D31" t="inlineStr">
        <is>
          <t/>
        </is>
      </c>
      <c r="E31" t="inlineStr">
        <is>
          <t/>
        </is>
      </c>
      <c r="F31" t="inlineStr">
        <is>
          <t/>
        </is>
      </c>
      <c r="G31" t="inlineStr">
        <is>
          <t/>
        </is>
      </c>
      <c r="H31" t="inlineStr">
        <is>
          <t/>
        </is>
      </c>
      <c r="I31" t="inlineStr">
        <is>
          <t/>
        </is>
      </c>
      <c r="J31" t="inlineStr">
        <is>
          <t/>
        </is>
      </c>
      <c r="K31" t="inlineStr">
        <is>
          <t/>
        </is>
      </c>
      <c r="L31" t="inlineStr">
        <is>
          <t/>
        </is>
      </c>
      <c r="M31" t="inlineStr">
        <is>
          <t/>
        </is>
      </c>
      <c r="N31" t="inlineStr">
        <is>
          <t/>
        </is>
      </c>
      <c r="O31" t="inlineStr">
        <is>
          <t/>
        </is>
      </c>
      <c r="P31">
        <f>IF(F31="","",IF(G31=XLOOKUP(F31,'Task Scoring Key'!$A:$A,'Task Scoring Key'!$C:$C,""),2,IF(G31=XLOOKUP(F31,'Task Scoring Key'!$A:$A,'Task Scoring Key'!$D:$D,""),1,0)))</f>
      </c>
      <c r="Q31">
        <f>IF(F31="","",IF(H31=XLOOKUP(F31,'Task Scoring Key'!$A:$A,'Task Scoring Key'!$E:$E,""),1,0))</f>
      </c>
      <c r="R31">
        <f>IF(COUNTA(K31:M31)=0,"",AVERAGE(K31:M31))</f>
      </c>
    </row>
    <row r="32">
      <c r="A32" t="inlineStr">
        <is>
          <t/>
        </is>
      </c>
      <c r="B32" t="inlineStr">
        <is>
          <t/>
        </is>
      </c>
      <c r="C32" t="inlineStr">
        <is>
          <t/>
        </is>
      </c>
      <c r="D32" t="inlineStr">
        <is>
          <t/>
        </is>
      </c>
      <c r="E32" t="inlineStr">
        <is>
          <t/>
        </is>
      </c>
      <c r="F32" t="inlineStr">
        <is>
          <t/>
        </is>
      </c>
      <c r="G32" t="inlineStr">
        <is>
          <t/>
        </is>
      </c>
      <c r="H32" t="inlineStr">
        <is>
          <t/>
        </is>
      </c>
      <c r="I32" t="inlineStr">
        <is>
          <t/>
        </is>
      </c>
      <c r="J32" t="inlineStr">
        <is>
          <t/>
        </is>
      </c>
      <c r="K32" t="inlineStr">
        <is>
          <t/>
        </is>
      </c>
      <c r="L32" t="inlineStr">
        <is>
          <t/>
        </is>
      </c>
      <c r="M32" t="inlineStr">
        <is>
          <t/>
        </is>
      </c>
      <c r="N32" t="inlineStr">
        <is>
          <t/>
        </is>
      </c>
      <c r="O32" t="inlineStr">
        <is>
          <t/>
        </is>
      </c>
      <c r="P32">
        <f>IF(F32="","",IF(G32=XLOOKUP(F32,'Task Scoring Key'!$A:$A,'Task Scoring Key'!$C:$C,""),2,IF(G32=XLOOKUP(F32,'Task Scoring Key'!$A:$A,'Task Scoring Key'!$D:$D,""),1,0)))</f>
      </c>
      <c r="Q32">
        <f>IF(F32="","",IF(H32=XLOOKUP(F32,'Task Scoring Key'!$A:$A,'Task Scoring Key'!$E:$E,""),1,0))</f>
      </c>
      <c r="R32">
        <f>IF(COUNTA(K32:M32)=0,"",AVERAGE(K32:M32))</f>
      </c>
    </row>
    <row r="33">
      <c r="A33" t="inlineStr">
        <is>
          <t/>
        </is>
      </c>
      <c r="B33" t="inlineStr">
        <is>
          <t/>
        </is>
      </c>
      <c r="C33" t="inlineStr">
        <is>
          <t/>
        </is>
      </c>
      <c r="D33" t="inlineStr">
        <is>
          <t/>
        </is>
      </c>
      <c r="E33" t="inlineStr">
        <is>
          <t/>
        </is>
      </c>
      <c r="F33" t="inlineStr">
        <is>
          <t/>
        </is>
      </c>
      <c r="G33" t="inlineStr">
        <is>
          <t/>
        </is>
      </c>
      <c r="H33" t="inlineStr">
        <is>
          <t/>
        </is>
      </c>
      <c r="I33" t="inlineStr">
        <is>
          <t/>
        </is>
      </c>
      <c r="J33" t="inlineStr">
        <is>
          <t/>
        </is>
      </c>
      <c r="K33" t="inlineStr">
        <is>
          <t/>
        </is>
      </c>
      <c r="L33" t="inlineStr">
        <is>
          <t/>
        </is>
      </c>
      <c r="M33" t="inlineStr">
        <is>
          <t/>
        </is>
      </c>
      <c r="N33" t="inlineStr">
        <is>
          <t/>
        </is>
      </c>
      <c r="O33" t="inlineStr">
        <is>
          <t/>
        </is>
      </c>
      <c r="P33">
        <f>IF(F33="","",IF(G33=XLOOKUP(F33,'Task Scoring Key'!$A:$A,'Task Scoring Key'!$C:$C,""),2,IF(G33=XLOOKUP(F33,'Task Scoring Key'!$A:$A,'Task Scoring Key'!$D:$D,""),1,0)))</f>
      </c>
      <c r="Q33">
        <f>IF(F33="","",IF(H33=XLOOKUP(F33,'Task Scoring Key'!$A:$A,'Task Scoring Key'!$E:$E,""),1,0))</f>
      </c>
      <c r="R33">
        <f>IF(COUNTA(K33:M33)=0,"",AVERAGE(K33:M33))</f>
      </c>
    </row>
    <row r="34">
      <c r="A34" t="inlineStr">
        <is>
          <t/>
        </is>
      </c>
      <c r="B34" t="inlineStr">
        <is>
          <t/>
        </is>
      </c>
      <c r="C34" t="inlineStr">
        <is>
          <t/>
        </is>
      </c>
      <c r="D34" t="inlineStr">
        <is>
          <t/>
        </is>
      </c>
      <c r="E34" t="inlineStr">
        <is>
          <t/>
        </is>
      </c>
      <c r="F34" t="inlineStr">
        <is>
          <t/>
        </is>
      </c>
      <c r="G34" t="inlineStr">
        <is>
          <t/>
        </is>
      </c>
      <c r="H34" t="inlineStr">
        <is>
          <t/>
        </is>
      </c>
      <c r="I34" t="inlineStr">
        <is>
          <t/>
        </is>
      </c>
      <c r="J34" t="inlineStr">
        <is>
          <t/>
        </is>
      </c>
      <c r="K34" t="inlineStr">
        <is>
          <t/>
        </is>
      </c>
      <c r="L34" t="inlineStr">
        <is>
          <t/>
        </is>
      </c>
      <c r="M34" t="inlineStr">
        <is>
          <t/>
        </is>
      </c>
      <c r="N34" t="inlineStr">
        <is>
          <t/>
        </is>
      </c>
      <c r="O34" t="inlineStr">
        <is>
          <t/>
        </is>
      </c>
      <c r="P34">
        <f>IF(F34="","",IF(G34=XLOOKUP(F34,'Task Scoring Key'!$A:$A,'Task Scoring Key'!$C:$C,""),2,IF(G34=XLOOKUP(F34,'Task Scoring Key'!$A:$A,'Task Scoring Key'!$D:$D,""),1,0)))</f>
      </c>
      <c r="Q34">
        <f>IF(F34="","",IF(H34=XLOOKUP(F34,'Task Scoring Key'!$A:$A,'Task Scoring Key'!$E:$E,""),1,0))</f>
      </c>
      <c r="R34">
        <f>IF(COUNTA(K34:M34)=0,"",AVERAGE(K34:M34))</f>
      </c>
    </row>
    <row r="35">
      <c r="A35" t="inlineStr">
        <is>
          <t/>
        </is>
      </c>
      <c r="B35" t="inlineStr">
        <is>
          <t/>
        </is>
      </c>
      <c r="C35" t="inlineStr">
        <is>
          <t/>
        </is>
      </c>
      <c r="D35" t="inlineStr">
        <is>
          <t/>
        </is>
      </c>
      <c r="E35" t="inlineStr">
        <is>
          <t/>
        </is>
      </c>
      <c r="F35" t="inlineStr">
        <is>
          <t/>
        </is>
      </c>
      <c r="G35" t="inlineStr">
        <is>
          <t/>
        </is>
      </c>
      <c r="H35" t="inlineStr">
        <is>
          <t/>
        </is>
      </c>
      <c r="I35" t="inlineStr">
        <is>
          <t/>
        </is>
      </c>
      <c r="J35" t="inlineStr">
        <is>
          <t/>
        </is>
      </c>
      <c r="K35" t="inlineStr">
        <is>
          <t/>
        </is>
      </c>
      <c r="L35" t="inlineStr">
        <is>
          <t/>
        </is>
      </c>
      <c r="M35" t="inlineStr">
        <is>
          <t/>
        </is>
      </c>
      <c r="N35" t="inlineStr">
        <is>
          <t/>
        </is>
      </c>
      <c r="O35" t="inlineStr">
        <is>
          <t/>
        </is>
      </c>
      <c r="P35">
        <f>IF(F35="","",IF(G35=XLOOKUP(F35,'Task Scoring Key'!$A:$A,'Task Scoring Key'!$C:$C,""),2,IF(G35=XLOOKUP(F35,'Task Scoring Key'!$A:$A,'Task Scoring Key'!$D:$D,""),1,0)))</f>
      </c>
      <c r="Q35">
        <f>IF(F35="","",IF(H35=XLOOKUP(F35,'Task Scoring Key'!$A:$A,'Task Scoring Key'!$E:$E,""),1,0))</f>
      </c>
      <c r="R35">
        <f>IF(COUNTA(K35:M35)=0,"",AVERAGE(K35:M35))</f>
      </c>
    </row>
    <row r="36">
      <c r="A36" t="inlineStr">
        <is>
          <t/>
        </is>
      </c>
      <c r="B36" t="inlineStr">
        <is>
          <t/>
        </is>
      </c>
      <c r="C36" t="inlineStr">
        <is>
          <t/>
        </is>
      </c>
      <c r="D36" t="inlineStr">
        <is>
          <t/>
        </is>
      </c>
      <c r="E36" t="inlineStr">
        <is>
          <t/>
        </is>
      </c>
      <c r="F36" t="inlineStr">
        <is>
          <t/>
        </is>
      </c>
      <c r="G36" t="inlineStr">
        <is>
          <t/>
        </is>
      </c>
      <c r="H36" t="inlineStr">
        <is>
          <t/>
        </is>
      </c>
      <c r="I36" t="inlineStr">
        <is>
          <t/>
        </is>
      </c>
      <c r="J36" t="inlineStr">
        <is>
          <t/>
        </is>
      </c>
      <c r="K36" t="inlineStr">
        <is>
          <t/>
        </is>
      </c>
      <c r="L36" t="inlineStr">
        <is>
          <t/>
        </is>
      </c>
      <c r="M36" t="inlineStr">
        <is>
          <t/>
        </is>
      </c>
      <c r="N36" t="inlineStr">
        <is>
          <t/>
        </is>
      </c>
      <c r="O36" t="inlineStr">
        <is>
          <t/>
        </is>
      </c>
      <c r="P36">
        <f>IF(F36="","",IF(G36=XLOOKUP(F36,'Task Scoring Key'!$A:$A,'Task Scoring Key'!$C:$C,""),2,IF(G36=XLOOKUP(F36,'Task Scoring Key'!$A:$A,'Task Scoring Key'!$D:$D,""),1,0)))</f>
      </c>
      <c r="Q36">
        <f>IF(F36="","",IF(H36=XLOOKUP(F36,'Task Scoring Key'!$A:$A,'Task Scoring Key'!$E:$E,""),1,0))</f>
      </c>
      <c r="R36">
        <f>IF(COUNTA(K36:M36)=0,"",AVERAGE(K36:M36))</f>
      </c>
    </row>
    <row r="37">
      <c r="A37" t="inlineStr">
        <is>
          <t/>
        </is>
      </c>
      <c r="B37" t="inlineStr">
        <is>
          <t/>
        </is>
      </c>
      <c r="C37" t="inlineStr">
        <is>
          <t/>
        </is>
      </c>
      <c r="D37" t="inlineStr">
        <is>
          <t/>
        </is>
      </c>
      <c r="E37" t="inlineStr">
        <is>
          <t/>
        </is>
      </c>
      <c r="F37" t="inlineStr">
        <is>
          <t/>
        </is>
      </c>
      <c r="G37" t="inlineStr">
        <is>
          <t/>
        </is>
      </c>
      <c r="H37" t="inlineStr">
        <is>
          <t/>
        </is>
      </c>
      <c r="I37" t="inlineStr">
        <is>
          <t/>
        </is>
      </c>
      <c r="J37" t="inlineStr">
        <is>
          <t/>
        </is>
      </c>
      <c r="K37" t="inlineStr">
        <is>
          <t/>
        </is>
      </c>
      <c r="L37" t="inlineStr">
        <is>
          <t/>
        </is>
      </c>
      <c r="M37" t="inlineStr">
        <is>
          <t/>
        </is>
      </c>
      <c r="N37" t="inlineStr">
        <is>
          <t/>
        </is>
      </c>
      <c r="O37" t="inlineStr">
        <is>
          <t/>
        </is>
      </c>
      <c r="P37">
        <f>IF(F37="","",IF(G37=XLOOKUP(F37,'Task Scoring Key'!$A:$A,'Task Scoring Key'!$C:$C,""),2,IF(G37=XLOOKUP(F37,'Task Scoring Key'!$A:$A,'Task Scoring Key'!$D:$D,""),1,0)))</f>
      </c>
      <c r="Q37">
        <f>IF(F37="","",IF(H37=XLOOKUP(F37,'Task Scoring Key'!$A:$A,'Task Scoring Key'!$E:$E,""),1,0))</f>
      </c>
      <c r="R37">
        <f>IF(COUNTA(K37:M37)=0,"",AVERAGE(K37:M37))</f>
      </c>
    </row>
    <row r="38">
      <c r="A38" t="inlineStr">
        <is>
          <t/>
        </is>
      </c>
      <c r="B38" t="inlineStr">
        <is>
          <t/>
        </is>
      </c>
      <c r="C38" t="inlineStr">
        <is>
          <t/>
        </is>
      </c>
      <c r="D38" t="inlineStr">
        <is>
          <t/>
        </is>
      </c>
      <c r="E38" t="inlineStr">
        <is>
          <t/>
        </is>
      </c>
      <c r="F38" t="inlineStr">
        <is>
          <t/>
        </is>
      </c>
      <c r="G38" t="inlineStr">
        <is>
          <t/>
        </is>
      </c>
      <c r="H38" t="inlineStr">
        <is>
          <t/>
        </is>
      </c>
      <c r="I38" t="inlineStr">
        <is>
          <t/>
        </is>
      </c>
      <c r="J38" t="inlineStr">
        <is>
          <t/>
        </is>
      </c>
      <c r="K38" t="inlineStr">
        <is>
          <t/>
        </is>
      </c>
      <c r="L38" t="inlineStr">
        <is>
          <t/>
        </is>
      </c>
      <c r="M38" t="inlineStr">
        <is>
          <t/>
        </is>
      </c>
      <c r="N38" t="inlineStr">
        <is>
          <t/>
        </is>
      </c>
      <c r="O38" t="inlineStr">
        <is>
          <t/>
        </is>
      </c>
      <c r="P38">
        <f>IF(F38="","",IF(G38=XLOOKUP(F38,'Task Scoring Key'!$A:$A,'Task Scoring Key'!$C:$C,""),2,IF(G38=XLOOKUP(F38,'Task Scoring Key'!$A:$A,'Task Scoring Key'!$D:$D,""),1,0)))</f>
      </c>
      <c r="Q38">
        <f>IF(F38="","",IF(H38=XLOOKUP(F38,'Task Scoring Key'!$A:$A,'Task Scoring Key'!$E:$E,""),1,0))</f>
      </c>
      <c r="R38">
        <f>IF(COUNTA(K38:M38)=0,"",AVERAGE(K38:M38))</f>
      </c>
    </row>
    <row r="39">
      <c r="A39" t="inlineStr">
        <is>
          <t/>
        </is>
      </c>
      <c r="B39" t="inlineStr">
        <is>
          <t/>
        </is>
      </c>
      <c r="C39" t="inlineStr">
        <is>
          <t/>
        </is>
      </c>
      <c r="D39" t="inlineStr">
        <is>
          <t/>
        </is>
      </c>
      <c r="E39" t="inlineStr">
        <is>
          <t/>
        </is>
      </c>
      <c r="F39" t="inlineStr">
        <is>
          <t/>
        </is>
      </c>
      <c r="G39" t="inlineStr">
        <is>
          <t/>
        </is>
      </c>
      <c r="H39" t="inlineStr">
        <is>
          <t/>
        </is>
      </c>
      <c r="I39" t="inlineStr">
        <is>
          <t/>
        </is>
      </c>
      <c r="J39" t="inlineStr">
        <is>
          <t/>
        </is>
      </c>
      <c r="K39" t="inlineStr">
        <is>
          <t/>
        </is>
      </c>
      <c r="L39" t="inlineStr">
        <is>
          <t/>
        </is>
      </c>
      <c r="M39" t="inlineStr">
        <is>
          <t/>
        </is>
      </c>
      <c r="N39" t="inlineStr">
        <is>
          <t/>
        </is>
      </c>
      <c r="O39" t="inlineStr">
        <is>
          <t/>
        </is>
      </c>
      <c r="P39">
        <f>IF(F39="","",IF(G39=XLOOKUP(F39,'Task Scoring Key'!$A:$A,'Task Scoring Key'!$C:$C,""),2,IF(G39=XLOOKUP(F39,'Task Scoring Key'!$A:$A,'Task Scoring Key'!$D:$D,""),1,0)))</f>
      </c>
      <c r="Q39">
        <f>IF(F39="","",IF(H39=XLOOKUP(F39,'Task Scoring Key'!$A:$A,'Task Scoring Key'!$E:$E,""),1,0))</f>
      </c>
      <c r="R39">
        <f>IF(COUNTA(K39:M39)=0,"",AVERAGE(K39:M39))</f>
      </c>
    </row>
    <row r="40">
      <c r="A40" t="inlineStr">
        <is>
          <t/>
        </is>
      </c>
      <c r="B40" t="inlineStr">
        <is>
          <t/>
        </is>
      </c>
      <c r="C40" t="inlineStr">
        <is>
          <t/>
        </is>
      </c>
      <c r="D40" t="inlineStr">
        <is>
          <t/>
        </is>
      </c>
      <c r="E40" t="inlineStr">
        <is>
          <t/>
        </is>
      </c>
      <c r="F40" t="inlineStr">
        <is>
          <t/>
        </is>
      </c>
      <c r="G40" t="inlineStr">
        <is>
          <t/>
        </is>
      </c>
      <c r="H40" t="inlineStr">
        <is>
          <t/>
        </is>
      </c>
      <c r="I40" t="inlineStr">
        <is>
          <t/>
        </is>
      </c>
      <c r="J40" t="inlineStr">
        <is>
          <t/>
        </is>
      </c>
      <c r="K40" t="inlineStr">
        <is>
          <t/>
        </is>
      </c>
      <c r="L40" t="inlineStr">
        <is>
          <t/>
        </is>
      </c>
      <c r="M40" t="inlineStr">
        <is>
          <t/>
        </is>
      </c>
      <c r="N40" t="inlineStr">
        <is>
          <t/>
        </is>
      </c>
      <c r="O40" t="inlineStr">
        <is>
          <t/>
        </is>
      </c>
      <c r="P40">
        <f>IF(F40="","",IF(G40=XLOOKUP(F40,'Task Scoring Key'!$A:$A,'Task Scoring Key'!$C:$C,""),2,IF(G40=XLOOKUP(F40,'Task Scoring Key'!$A:$A,'Task Scoring Key'!$D:$D,""),1,0)))</f>
      </c>
      <c r="Q40">
        <f>IF(F40="","",IF(H40=XLOOKUP(F40,'Task Scoring Key'!$A:$A,'Task Scoring Key'!$E:$E,""),1,0))</f>
      </c>
      <c r="R40">
        <f>IF(COUNTA(K40:M40)=0,"",AVERAGE(K40:M40))</f>
      </c>
    </row>
    <row r="41">
      <c r="A41" t="inlineStr">
        <is>
          <t/>
        </is>
      </c>
      <c r="B41" t="inlineStr">
        <is>
          <t/>
        </is>
      </c>
      <c r="C41" t="inlineStr">
        <is>
          <t/>
        </is>
      </c>
      <c r="D41" t="inlineStr">
        <is>
          <t/>
        </is>
      </c>
      <c r="E41" t="inlineStr">
        <is>
          <t/>
        </is>
      </c>
      <c r="F41" t="inlineStr">
        <is>
          <t/>
        </is>
      </c>
      <c r="G41" t="inlineStr">
        <is>
          <t/>
        </is>
      </c>
      <c r="H41" t="inlineStr">
        <is>
          <t/>
        </is>
      </c>
      <c r="I41" t="inlineStr">
        <is>
          <t/>
        </is>
      </c>
      <c r="J41" t="inlineStr">
        <is>
          <t/>
        </is>
      </c>
      <c r="K41" t="inlineStr">
        <is>
          <t/>
        </is>
      </c>
      <c r="L41" t="inlineStr">
        <is>
          <t/>
        </is>
      </c>
      <c r="M41" t="inlineStr">
        <is>
          <t/>
        </is>
      </c>
      <c r="N41" t="inlineStr">
        <is>
          <t/>
        </is>
      </c>
      <c r="O41" t="inlineStr">
        <is>
          <t/>
        </is>
      </c>
      <c r="P41">
        <f>IF(F41="","",IF(G41=XLOOKUP(F41,'Task Scoring Key'!$A:$A,'Task Scoring Key'!$C:$C,""),2,IF(G41=XLOOKUP(F41,'Task Scoring Key'!$A:$A,'Task Scoring Key'!$D:$D,""),1,0)))</f>
      </c>
      <c r="Q41">
        <f>IF(F41="","",IF(H41=XLOOKUP(F41,'Task Scoring Key'!$A:$A,'Task Scoring Key'!$E:$E,""),1,0))</f>
      </c>
      <c r="R41">
        <f>IF(COUNTA(K41:M41)=0,"",AVERAGE(K41:M41))</f>
      </c>
    </row>
    <row r="42">
      <c r="A42" t="inlineStr">
        <is>
          <t/>
        </is>
      </c>
      <c r="B42" t="inlineStr">
        <is>
          <t/>
        </is>
      </c>
      <c r="C42" t="inlineStr">
        <is>
          <t/>
        </is>
      </c>
      <c r="D42" t="inlineStr">
        <is>
          <t/>
        </is>
      </c>
      <c r="E42" t="inlineStr">
        <is>
          <t/>
        </is>
      </c>
      <c r="F42" t="inlineStr">
        <is>
          <t/>
        </is>
      </c>
      <c r="G42" t="inlineStr">
        <is>
          <t/>
        </is>
      </c>
      <c r="H42" t="inlineStr">
        <is>
          <t/>
        </is>
      </c>
      <c r="I42" t="inlineStr">
        <is>
          <t/>
        </is>
      </c>
      <c r="J42" t="inlineStr">
        <is>
          <t/>
        </is>
      </c>
      <c r="K42" t="inlineStr">
        <is>
          <t/>
        </is>
      </c>
      <c r="L42" t="inlineStr">
        <is>
          <t/>
        </is>
      </c>
      <c r="M42" t="inlineStr">
        <is>
          <t/>
        </is>
      </c>
      <c r="N42" t="inlineStr">
        <is>
          <t/>
        </is>
      </c>
      <c r="O42" t="inlineStr">
        <is>
          <t/>
        </is>
      </c>
      <c r="P42">
        <f>IF(F42="","",IF(G42=XLOOKUP(F42,'Task Scoring Key'!$A:$A,'Task Scoring Key'!$C:$C,""),2,IF(G42=XLOOKUP(F42,'Task Scoring Key'!$A:$A,'Task Scoring Key'!$D:$D,""),1,0)))</f>
      </c>
      <c r="Q42">
        <f>IF(F42="","",IF(H42=XLOOKUP(F42,'Task Scoring Key'!$A:$A,'Task Scoring Key'!$E:$E,""),1,0))</f>
      </c>
      <c r="R42">
        <f>IF(COUNTA(K42:M42)=0,"",AVERAGE(K42:M42))</f>
      </c>
    </row>
    <row r="43">
      <c r="A43" t="inlineStr">
        <is>
          <t/>
        </is>
      </c>
      <c r="B43" t="inlineStr">
        <is>
          <t/>
        </is>
      </c>
      <c r="C43" t="inlineStr">
        <is>
          <t/>
        </is>
      </c>
      <c r="D43" t="inlineStr">
        <is>
          <t/>
        </is>
      </c>
      <c r="E43" t="inlineStr">
        <is>
          <t/>
        </is>
      </c>
      <c r="F43" t="inlineStr">
        <is>
          <t/>
        </is>
      </c>
      <c r="G43" t="inlineStr">
        <is>
          <t/>
        </is>
      </c>
      <c r="H43" t="inlineStr">
        <is>
          <t/>
        </is>
      </c>
      <c r="I43" t="inlineStr">
        <is>
          <t/>
        </is>
      </c>
      <c r="J43" t="inlineStr">
        <is>
          <t/>
        </is>
      </c>
      <c r="K43" t="inlineStr">
        <is>
          <t/>
        </is>
      </c>
      <c r="L43" t="inlineStr">
        <is>
          <t/>
        </is>
      </c>
      <c r="M43" t="inlineStr">
        <is>
          <t/>
        </is>
      </c>
      <c r="N43" t="inlineStr">
        <is>
          <t/>
        </is>
      </c>
      <c r="O43" t="inlineStr">
        <is>
          <t/>
        </is>
      </c>
      <c r="P43">
        <f>IF(F43="","",IF(G43=XLOOKUP(F43,'Task Scoring Key'!$A:$A,'Task Scoring Key'!$C:$C,""),2,IF(G43=XLOOKUP(F43,'Task Scoring Key'!$A:$A,'Task Scoring Key'!$D:$D,""),1,0)))</f>
      </c>
      <c r="Q43">
        <f>IF(F43="","",IF(H43=XLOOKUP(F43,'Task Scoring Key'!$A:$A,'Task Scoring Key'!$E:$E,""),1,0))</f>
      </c>
      <c r="R43">
        <f>IF(COUNTA(K43:M43)=0,"",AVERAGE(K43:M43))</f>
      </c>
    </row>
    <row r="44">
      <c r="A44" t="inlineStr">
        <is>
          <t/>
        </is>
      </c>
      <c r="B44" t="inlineStr">
        <is>
          <t/>
        </is>
      </c>
      <c r="C44" t="inlineStr">
        <is>
          <t/>
        </is>
      </c>
      <c r="D44" t="inlineStr">
        <is>
          <t/>
        </is>
      </c>
      <c r="E44" t="inlineStr">
        <is>
          <t/>
        </is>
      </c>
      <c r="F44" t="inlineStr">
        <is>
          <t/>
        </is>
      </c>
      <c r="G44" t="inlineStr">
        <is>
          <t/>
        </is>
      </c>
      <c r="H44" t="inlineStr">
        <is>
          <t/>
        </is>
      </c>
      <c r="I44" t="inlineStr">
        <is>
          <t/>
        </is>
      </c>
      <c r="J44" t="inlineStr">
        <is>
          <t/>
        </is>
      </c>
      <c r="K44" t="inlineStr">
        <is>
          <t/>
        </is>
      </c>
      <c r="L44" t="inlineStr">
        <is>
          <t/>
        </is>
      </c>
      <c r="M44" t="inlineStr">
        <is>
          <t/>
        </is>
      </c>
      <c r="N44" t="inlineStr">
        <is>
          <t/>
        </is>
      </c>
      <c r="O44" t="inlineStr">
        <is>
          <t/>
        </is>
      </c>
      <c r="P44">
        <f>IF(F44="","",IF(G44=XLOOKUP(F44,'Task Scoring Key'!$A:$A,'Task Scoring Key'!$C:$C,""),2,IF(G44=XLOOKUP(F44,'Task Scoring Key'!$A:$A,'Task Scoring Key'!$D:$D,""),1,0)))</f>
      </c>
      <c r="Q44">
        <f>IF(F44="","",IF(H44=XLOOKUP(F44,'Task Scoring Key'!$A:$A,'Task Scoring Key'!$E:$E,""),1,0))</f>
      </c>
      <c r="R44">
        <f>IF(COUNTA(K44:M44)=0,"",AVERAGE(K44:M44))</f>
      </c>
    </row>
    <row r="45">
      <c r="A45" t="inlineStr">
        <is>
          <t/>
        </is>
      </c>
      <c r="B45" t="inlineStr">
        <is>
          <t/>
        </is>
      </c>
      <c r="C45" t="inlineStr">
        <is>
          <t/>
        </is>
      </c>
      <c r="D45" t="inlineStr">
        <is>
          <t/>
        </is>
      </c>
      <c r="E45" t="inlineStr">
        <is>
          <t/>
        </is>
      </c>
      <c r="F45" t="inlineStr">
        <is>
          <t/>
        </is>
      </c>
      <c r="G45" t="inlineStr">
        <is>
          <t/>
        </is>
      </c>
      <c r="H45" t="inlineStr">
        <is>
          <t/>
        </is>
      </c>
      <c r="I45" t="inlineStr">
        <is>
          <t/>
        </is>
      </c>
      <c r="J45" t="inlineStr">
        <is>
          <t/>
        </is>
      </c>
      <c r="K45" t="inlineStr">
        <is>
          <t/>
        </is>
      </c>
      <c r="L45" t="inlineStr">
        <is>
          <t/>
        </is>
      </c>
      <c r="M45" t="inlineStr">
        <is>
          <t/>
        </is>
      </c>
      <c r="N45" t="inlineStr">
        <is>
          <t/>
        </is>
      </c>
      <c r="O45" t="inlineStr">
        <is>
          <t/>
        </is>
      </c>
      <c r="P45">
        <f>IF(F45="","",IF(G45=XLOOKUP(F45,'Task Scoring Key'!$A:$A,'Task Scoring Key'!$C:$C,""),2,IF(G45=XLOOKUP(F45,'Task Scoring Key'!$A:$A,'Task Scoring Key'!$D:$D,""),1,0)))</f>
      </c>
      <c r="Q45">
        <f>IF(F45="","",IF(H45=XLOOKUP(F45,'Task Scoring Key'!$A:$A,'Task Scoring Key'!$E:$E,""),1,0))</f>
      </c>
      <c r="R45">
        <f>IF(COUNTA(K45:M45)=0,"",AVERAGE(K45:M45))</f>
      </c>
    </row>
    <row r="46">
      <c r="A46" t="inlineStr">
        <is>
          <t/>
        </is>
      </c>
      <c r="B46" t="inlineStr">
        <is>
          <t/>
        </is>
      </c>
      <c r="C46" t="inlineStr">
        <is>
          <t/>
        </is>
      </c>
      <c r="D46" t="inlineStr">
        <is>
          <t/>
        </is>
      </c>
      <c r="E46" t="inlineStr">
        <is>
          <t/>
        </is>
      </c>
      <c r="F46" t="inlineStr">
        <is>
          <t/>
        </is>
      </c>
      <c r="G46" t="inlineStr">
        <is>
          <t/>
        </is>
      </c>
      <c r="H46" t="inlineStr">
        <is>
          <t/>
        </is>
      </c>
      <c r="I46" t="inlineStr">
        <is>
          <t/>
        </is>
      </c>
      <c r="J46" t="inlineStr">
        <is>
          <t/>
        </is>
      </c>
      <c r="K46" t="inlineStr">
        <is>
          <t/>
        </is>
      </c>
      <c r="L46" t="inlineStr">
        <is>
          <t/>
        </is>
      </c>
      <c r="M46" t="inlineStr">
        <is>
          <t/>
        </is>
      </c>
      <c r="N46" t="inlineStr">
        <is>
          <t/>
        </is>
      </c>
      <c r="O46" t="inlineStr">
        <is>
          <t/>
        </is>
      </c>
      <c r="P46">
        <f>IF(F46="","",IF(G46=XLOOKUP(F46,'Task Scoring Key'!$A:$A,'Task Scoring Key'!$C:$C,""),2,IF(G46=XLOOKUP(F46,'Task Scoring Key'!$A:$A,'Task Scoring Key'!$D:$D,""),1,0)))</f>
      </c>
      <c r="Q46">
        <f>IF(F46="","",IF(H46=XLOOKUP(F46,'Task Scoring Key'!$A:$A,'Task Scoring Key'!$E:$E,""),1,0))</f>
      </c>
      <c r="R46">
        <f>IF(COUNTA(K46:M46)=0,"",AVERAGE(K46:M46))</f>
      </c>
    </row>
    <row r="47">
      <c r="A47" t="inlineStr">
        <is>
          <t/>
        </is>
      </c>
      <c r="B47" t="inlineStr">
        <is>
          <t/>
        </is>
      </c>
      <c r="C47" t="inlineStr">
        <is>
          <t/>
        </is>
      </c>
      <c r="D47" t="inlineStr">
        <is>
          <t/>
        </is>
      </c>
      <c r="E47" t="inlineStr">
        <is>
          <t/>
        </is>
      </c>
      <c r="F47" t="inlineStr">
        <is>
          <t/>
        </is>
      </c>
      <c r="G47" t="inlineStr">
        <is>
          <t/>
        </is>
      </c>
      <c r="H47" t="inlineStr">
        <is>
          <t/>
        </is>
      </c>
      <c r="I47" t="inlineStr">
        <is>
          <t/>
        </is>
      </c>
      <c r="J47" t="inlineStr">
        <is>
          <t/>
        </is>
      </c>
      <c r="K47" t="inlineStr">
        <is>
          <t/>
        </is>
      </c>
      <c r="L47" t="inlineStr">
        <is>
          <t/>
        </is>
      </c>
      <c r="M47" t="inlineStr">
        <is>
          <t/>
        </is>
      </c>
      <c r="N47" t="inlineStr">
        <is>
          <t/>
        </is>
      </c>
      <c r="O47" t="inlineStr">
        <is>
          <t/>
        </is>
      </c>
      <c r="P47">
        <f>IF(F47="","",IF(G47=XLOOKUP(F47,'Task Scoring Key'!$A:$A,'Task Scoring Key'!$C:$C,""),2,IF(G47=XLOOKUP(F47,'Task Scoring Key'!$A:$A,'Task Scoring Key'!$D:$D,""),1,0)))</f>
      </c>
      <c r="Q47">
        <f>IF(F47="","",IF(H47=XLOOKUP(F47,'Task Scoring Key'!$A:$A,'Task Scoring Key'!$E:$E,""),1,0))</f>
      </c>
      <c r="R47">
        <f>IF(COUNTA(K47:M47)=0,"",AVERAGE(K47:M47))</f>
      </c>
    </row>
    <row r="48">
      <c r="A48" t="inlineStr">
        <is>
          <t/>
        </is>
      </c>
      <c r="B48" t="inlineStr">
        <is>
          <t/>
        </is>
      </c>
      <c r="C48" t="inlineStr">
        <is>
          <t/>
        </is>
      </c>
      <c r="D48" t="inlineStr">
        <is>
          <t/>
        </is>
      </c>
      <c r="E48" t="inlineStr">
        <is>
          <t/>
        </is>
      </c>
      <c r="F48" t="inlineStr">
        <is>
          <t/>
        </is>
      </c>
      <c r="G48" t="inlineStr">
        <is>
          <t/>
        </is>
      </c>
      <c r="H48" t="inlineStr">
        <is>
          <t/>
        </is>
      </c>
      <c r="I48" t="inlineStr">
        <is>
          <t/>
        </is>
      </c>
      <c r="J48" t="inlineStr">
        <is>
          <t/>
        </is>
      </c>
      <c r="K48" t="inlineStr">
        <is>
          <t/>
        </is>
      </c>
      <c r="L48" t="inlineStr">
        <is>
          <t/>
        </is>
      </c>
      <c r="M48" t="inlineStr">
        <is>
          <t/>
        </is>
      </c>
      <c r="N48" t="inlineStr">
        <is>
          <t/>
        </is>
      </c>
      <c r="O48" t="inlineStr">
        <is>
          <t/>
        </is>
      </c>
      <c r="P48">
        <f>IF(F48="","",IF(G48=XLOOKUP(F48,'Task Scoring Key'!$A:$A,'Task Scoring Key'!$C:$C,""),2,IF(G48=XLOOKUP(F48,'Task Scoring Key'!$A:$A,'Task Scoring Key'!$D:$D,""),1,0)))</f>
      </c>
      <c r="Q48">
        <f>IF(F48="","",IF(H48=XLOOKUP(F48,'Task Scoring Key'!$A:$A,'Task Scoring Key'!$E:$E,""),1,0))</f>
      </c>
      <c r="R48">
        <f>IF(COUNTA(K48:M48)=0,"",AVERAGE(K48:M48))</f>
      </c>
    </row>
    <row r="49">
      <c r="A49" t="inlineStr">
        <is>
          <t/>
        </is>
      </c>
      <c r="B49" t="inlineStr">
        <is>
          <t/>
        </is>
      </c>
      <c r="C49" t="inlineStr">
        <is>
          <t/>
        </is>
      </c>
      <c r="D49" t="inlineStr">
        <is>
          <t/>
        </is>
      </c>
      <c r="E49" t="inlineStr">
        <is>
          <t/>
        </is>
      </c>
      <c r="F49" t="inlineStr">
        <is>
          <t/>
        </is>
      </c>
      <c r="G49" t="inlineStr">
        <is>
          <t/>
        </is>
      </c>
      <c r="H49" t="inlineStr">
        <is>
          <t/>
        </is>
      </c>
      <c r="I49" t="inlineStr">
        <is>
          <t/>
        </is>
      </c>
      <c r="J49" t="inlineStr">
        <is>
          <t/>
        </is>
      </c>
      <c r="K49" t="inlineStr">
        <is>
          <t/>
        </is>
      </c>
      <c r="L49" t="inlineStr">
        <is>
          <t/>
        </is>
      </c>
      <c r="M49" t="inlineStr">
        <is>
          <t/>
        </is>
      </c>
      <c r="N49" t="inlineStr">
        <is>
          <t/>
        </is>
      </c>
      <c r="O49" t="inlineStr">
        <is>
          <t/>
        </is>
      </c>
      <c r="P49">
        <f>IF(F49="","",IF(G49=XLOOKUP(F49,'Task Scoring Key'!$A:$A,'Task Scoring Key'!$C:$C,""),2,IF(G49=XLOOKUP(F49,'Task Scoring Key'!$A:$A,'Task Scoring Key'!$D:$D,""),1,0)))</f>
      </c>
      <c r="Q49">
        <f>IF(F49="","",IF(H49=XLOOKUP(F49,'Task Scoring Key'!$A:$A,'Task Scoring Key'!$E:$E,""),1,0))</f>
      </c>
      <c r="R49">
        <f>IF(COUNTA(K49:M49)=0,"",AVERAGE(K49:M49))</f>
      </c>
    </row>
    <row r="50">
      <c r="A50" t="inlineStr">
        <is>
          <t/>
        </is>
      </c>
      <c r="B50" t="inlineStr">
        <is>
          <t/>
        </is>
      </c>
      <c r="C50" t="inlineStr">
        <is>
          <t/>
        </is>
      </c>
      <c r="D50" t="inlineStr">
        <is>
          <t/>
        </is>
      </c>
      <c r="E50" t="inlineStr">
        <is>
          <t/>
        </is>
      </c>
      <c r="F50" t="inlineStr">
        <is>
          <t/>
        </is>
      </c>
      <c r="G50" t="inlineStr">
        <is>
          <t/>
        </is>
      </c>
      <c r="H50" t="inlineStr">
        <is>
          <t/>
        </is>
      </c>
      <c r="I50" t="inlineStr">
        <is>
          <t/>
        </is>
      </c>
      <c r="J50" t="inlineStr">
        <is>
          <t/>
        </is>
      </c>
      <c r="K50" t="inlineStr">
        <is>
          <t/>
        </is>
      </c>
      <c r="L50" t="inlineStr">
        <is>
          <t/>
        </is>
      </c>
      <c r="M50" t="inlineStr">
        <is>
          <t/>
        </is>
      </c>
      <c r="N50" t="inlineStr">
        <is>
          <t/>
        </is>
      </c>
      <c r="O50" t="inlineStr">
        <is>
          <t/>
        </is>
      </c>
      <c r="P50">
        <f>IF(F50="","",IF(G50=XLOOKUP(F50,'Task Scoring Key'!$A:$A,'Task Scoring Key'!$C:$C,""),2,IF(G50=XLOOKUP(F50,'Task Scoring Key'!$A:$A,'Task Scoring Key'!$D:$D,""),1,0)))</f>
      </c>
      <c r="Q50">
        <f>IF(F50="","",IF(H50=XLOOKUP(F50,'Task Scoring Key'!$A:$A,'Task Scoring Key'!$E:$E,""),1,0))</f>
      </c>
      <c r="R50">
        <f>IF(COUNTA(K50:M50)=0,"",AVERAGE(K50:M50))</f>
      </c>
    </row>
    <row r="51">
      <c r="A51" t="inlineStr">
        <is>
          <t/>
        </is>
      </c>
      <c r="B51" t="inlineStr">
        <is>
          <t/>
        </is>
      </c>
      <c r="C51" t="inlineStr">
        <is>
          <t/>
        </is>
      </c>
      <c r="D51" t="inlineStr">
        <is>
          <t/>
        </is>
      </c>
      <c r="E51" t="inlineStr">
        <is>
          <t/>
        </is>
      </c>
      <c r="F51" t="inlineStr">
        <is>
          <t/>
        </is>
      </c>
      <c r="G51" t="inlineStr">
        <is>
          <t/>
        </is>
      </c>
      <c r="H51" t="inlineStr">
        <is>
          <t/>
        </is>
      </c>
      <c r="I51" t="inlineStr">
        <is>
          <t/>
        </is>
      </c>
      <c r="J51" t="inlineStr">
        <is>
          <t/>
        </is>
      </c>
      <c r="K51" t="inlineStr">
        <is>
          <t/>
        </is>
      </c>
      <c r="L51" t="inlineStr">
        <is>
          <t/>
        </is>
      </c>
      <c r="M51" t="inlineStr">
        <is>
          <t/>
        </is>
      </c>
      <c r="N51" t="inlineStr">
        <is>
          <t/>
        </is>
      </c>
      <c r="O51" t="inlineStr">
        <is>
          <t/>
        </is>
      </c>
      <c r="P51">
        <f>IF(F51="","",IF(G51=XLOOKUP(F51,'Task Scoring Key'!$A:$A,'Task Scoring Key'!$C:$C,""),2,IF(G51=XLOOKUP(F51,'Task Scoring Key'!$A:$A,'Task Scoring Key'!$D:$D,""),1,0)))</f>
      </c>
      <c r="Q51">
        <f>IF(F51="","",IF(H51=XLOOKUP(F51,'Task Scoring Key'!$A:$A,'Task Scoring Key'!$E:$E,""),1,0))</f>
      </c>
      <c r="R51">
        <f>IF(COUNTA(K51:M51)=0,"",AVERAGE(K51:M51))</f>
      </c>
    </row>
    <row r="52">
      <c r="A52" t="inlineStr">
        <is>
          <t/>
        </is>
      </c>
      <c r="B52" t="inlineStr">
        <is>
          <t/>
        </is>
      </c>
      <c r="C52" t="inlineStr">
        <is>
          <t/>
        </is>
      </c>
      <c r="D52" t="inlineStr">
        <is>
          <t/>
        </is>
      </c>
      <c r="E52" t="inlineStr">
        <is>
          <t/>
        </is>
      </c>
      <c r="F52" t="inlineStr">
        <is>
          <t/>
        </is>
      </c>
      <c r="G52" t="inlineStr">
        <is>
          <t/>
        </is>
      </c>
      <c r="H52" t="inlineStr">
        <is>
          <t/>
        </is>
      </c>
      <c r="I52" t="inlineStr">
        <is>
          <t/>
        </is>
      </c>
      <c r="J52" t="inlineStr">
        <is>
          <t/>
        </is>
      </c>
      <c r="K52" t="inlineStr">
        <is>
          <t/>
        </is>
      </c>
      <c r="L52" t="inlineStr">
        <is>
          <t/>
        </is>
      </c>
      <c r="M52" t="inlineStr">
        <is>
          <t/>
        </is>
      </c>
      <c r="N52" t="inlineStr">
        <is>
          <t/>
        </is>
      </c>
      <c r="O52" t="inlineStr">
        <is>
          <t/>
        </is>
      </c>
      <c r="P52">
        <f>IF(F52="","",IF(G52=XLOOKUP(F52,'Task Scoring Key'!$A:$A,'Task Scoring Key'!$C:$C,""),2,IF(G52=XLOOKUP(F52,'Task Scoring Key'!$A:$A,'Task Scoring Key'!$D:$D,""),1,0)))</f>
      </c>
      <c r="Q52">
        <f>IF(F52="","",IF(H52=XLOOKUP(F52,'Task Scoring Key'!$A:$A,'Task Scoring Key'!$E:$E,""),1,0))</f>
      </c>
      <c r="R52">
        <f>IF(COUNTA(K52:M52)=0,"",AVERAGE(K52:M52))</f>
      </c>
    </row>
    <row r="53">
      <c r="A53" t="inlineStr">
        <is>
          <t/>
        </is>
      </c>
      <c r="B53" t="inlineStr">
        <is>
          <t/>
        </is>
      </c>
      <c r="C53" t="inlineStr">
        <is>
          <t/>
        </is>
      </c>
      <c r="D53" t="inlineStr">
        <is>
          <t/>
        </is>
      </c>
      <c r="E53" t="inlineStr">
        <is>
          <t/>
        </is>
      </c>
      <c r="F53" t="inlineStr">
        <is>
          <t/>
        </is>
      </c>
      <c r="G53" t="inlineStr">
        <is>
          <t/>
        </is>
      </c>
      <c r="H53" t="inlineStr">
        <is>
          <t/>
        </is>
      </c>
      <c r="I53" t="inlineStr">
        <is>
          <t/>
        </is>
      </c>
      <c r="J53" t="inlineStr">
        <is>
          <t/>
        </is>
      </c>
      <c r="K53" t="inlineStr">
        <is>
          <t/>
        </is>
      </c>
      <c r="L53" t="inlineStr">
        <is>
          <t/>
        </is>
      </c>
      <c r="M53" t="inlineStr">
        <is>
          <t/>
        </is>
      </c>
      <c r="N53" t="inlineStr">
        <is>
          <t/>
        </is>
      </c>
      <c r="O53" t="inlineStr">
        <is>
          <t/>
        </is>
      </c>
      <c r="P53">
        <f>IF(F53="","",IF(G53=XLOOKUP(F53,'Task Scoring Key'!$A:$A,'Task Scoring Key'!$C:$C,""),2,IF(G53=XLOOKUP(F53,'Task Scoring Key'!$A:$A,'Task Scoring Key'!$D:$D,""),1,0)))</f>
      </c>
      <c r="Q53">
        <f>IF(F53="","",IF(H53=XLOOKUP(F53,'Task Scoring Key'!$A:$A,'Task Scoring Key'!$E:$E,""),1,0))</f>
      </c>
      <c r="R53">
        <f>IF(COUNTA(K53:M53)=0,"",AVERAGE(K53:M53))</f>
      </c>
    </row>
    <row r="54">
      <c r="A54" t="inlineStr">
        <is>
          <t/>
        </is>
      </c>
      <c r="B54" t="inlineStr">
        <is>
          <t/>
        </is>
      </c>
      <c r="C54" t="inlineStr">
        <is>
          <t/>
        </is>
      </c>
      <c r="D54" t="inlineStr">
        <is>
          <t/>
        </is>
      </c>
      <c r="E54" t="inlineStr">
        <is>
          <t/>
        </is>
      </c>
      <c r="F54" t="inlineStr">
        <is>
          <t/>
        </is>
      </c>
      <c r="G54" t="inlineStr">
        <is>
          <t/>
        </is>
      </c>
      <c r="H54" t="inlineStr">
        <is>
          <t/>
        </is>
      </c>
      <c r="I54" t="inlineStr">
        <is>
          <t/>
        </is>
      </c>
      <c r="J54" t="inlineStr">
        <is>
          <t/>
        </is>
      </c>
      <c r="K54" t="inlineStr">
        <is>
          <t/>
        </is>
      </c>
      <c r="L54" t="inlineStr">
        <is>
          <t/>
        </is>
      </c>
      <c r="M54" t="inlineStr">
        <is>
          <t/>
        </is>
      </c>
      <c r="N54" t="inlineStr">
        <is>
          <t/>
        </is>
      </c>
      <c r="O54" t="inlineStr">
        <is>
          <t/>
        </is>
      </c>
      <c r="P54">
        <f>IF(F54="","",IF(G54=XLOOKUP(F54,'Task Scoring Key'!$A:$A,'Task Scoring Key'!$C:$C,""),2,IF(G54=XLOOKUP(F54,'Task Scoring Key'!$A:$A,'Task Scoring Key'!$D:$D,""),1,0)))</f>
      </c>
      <c r="Q54">
        <f>IF(F54="","",IF(H54=XLOOKUP(F54,'Task Scoring Key'!$A:$A,'Task Scoring Key'!$E:$E,""),1,0))</f>
      </c>
      <c r="R54">
        <f>IF(COUNTA(K54:M54)=0,"",AVERAGE(K54:M54))</f>
      </c>
    </row>
    <row r="55">
      <c r="A55" t="inlineStr">
        <is>
          <t/>
        </is>
      </c>
      <c r="B55" t="inlineStr">
        <is>
          <t/>
        </is>
      </c>
      <c r="C55" t="inlineStr">
        <is>
          <t/>
        </is>
      </c>
      <c r="D55" t="inlineStr">
        <is>
          <t/>
        </is>
      </c>
      <c r="E55" t="inlineStr">
        <is>
          <t/>
        </is>
      </c>
      <c r="F55" t="inlineStr">
        <is>
          <t/>
        </is>
      </c>
      <c r="G55" t="inlineStr">
        <is>
          <t/>
        </is>
      </c>
      <c r="H55" t="inlineStr">
        <is>
          <t/>
        </is>
      </c>
      <c r="I55" t="inlineStr">
        <is>
          <t/>
        </is>
      </c>
      <c r="J55" t="inlineStr">
        <is>
          <t/>
        </is>
      </c>
      <c r="K55" t="inlineStr">
        <is>
          <t/>
        </is>
      </c>
      <c r="L55" t="inlineStr">
        <is>
          <t/>
        </is>
      </c>
      <c r="M55" t="inlineStr">
        <is>
          <t/>
        </is>
      </c>
      <c r="N55" t="inlineStr">
        <is>
          <t/>
        </is>
      </c>
      <c r="O55" t="inlineStr">
        <is>
          <t/>
        </is>
      </c>
      <c r="P55">
        <f>IF(F55="","",IF(G55=XLOOKUP(F55,'Task Scoring Key'!$A:$A,'Task Scoring Key'!$C:$C,""),2,IF(G55=XLOOKUP(F55,'Task Scoring Key'!$A:$A,'Task Scoring Key'!$D:$D,""),1,0)))</f>
      </c>
      <c r="Q55">
        <f>IF(F55="","",IF(H55=XLOOKUP(F55,'Task Scoring Key'!$A:$A,'Task Scoring Key'!$E:$E,""),1,0))</f>
      </c>
      <c r="R55">
        <f>IF(COUNTA(K55:M55)=0,"",AVERAGE(K55:M55))</f>
      </c>
    </row>
    <row r="56">
      <c r="A56" t="inlineStr">
        <is>
          <t/>
        </is>
      </c>
      <c r="B56" t="inlineStr">
        <is>
          <t/>
        </is>
      </c>
      <c r="C56" t="inlineStr">
        <is>
          <t/>
        </is>
      </c>
      <c r="D56" t="inlineStr">
        <is>
          <t/>
        </is>
      </c>
      <c r="E56" t="inlineStr">
        <is>
          <t/>
        </is>
      </c>
      <c r="F56" t="inlineStr">
        <is>
          <t/>
        </is>
      </c>
      <c r="G56" t="inlineStr">
        <is>
          <t/>
        </is>
      </c>
      <c r="H56" t="inlineStr">
        <is>
          <t/>
        </is>
      </c>
      <c r="I56" t="inlineStr">
        <is>
          <t/>
        </is>
      </c>
      <c r="J56" t="inlineStr">
        <is>
          <t/>
        </is>
      </c>
      <c r="K56" t="inlineStr">
        <is>
          <t/>
        </is>
      </c>
      <c r="L56" t="inlineStr">
        <is>
          <t/>
        </is>
      </c>
      <c r="M56" t="inlineStr">
        <is>
          <t/>
        </is>
      </c>
      <c r="N56" t="inlineStr">
        <is>
          <t/>
        </is>
      </c>
      <c r="O56" t="inlineStr">
        <is>
          <t/>
        </is>
      </c>
      <c r="P56">
        <f>IF(F56="","",IF(G56=XLOOKUP(F56,'Task Scoring Key'!$A:$A,'Task Scoring Key'!$C:$C,""),2,IF(G56=XLOOKUP(F56,'Task Scoring Key'!$A:$A,'Task Scoring Key'!$D:$D,""),1,0)))</f>
      </c>
      <c r="Q56">
        <f>IF(F56="","",IF(H56=XLOOKUP(F56,'Task Scoring Key'!$A:$A,'Task Scoring Key'!$E:$E,""),1,0))</f>
      </c>
      <c r="R56">
        <f>IF(COUNTA(K56:M56)=0,"",AVERAGE(K56:M56))</f>
      </c>
    </row>
    <row r="57">
      <c r="A57" t="inlineStr">
        <is>
          <t/>
        </is>
      </c>
      <c r="B57" t="inlineStr">
        <is>
          <t/>
        </is>
      </c>
      <c r="C57" t="inlineStr">
        <is>
          <t/>
        </is>
      </c>
      <c r="D57" t="inlineStr">
        <is>
          <t/>
        </is>
      </c>
      <c r="E57" t="inlineStr">
        <is>
          <t/>
        </is>
      </c>
      <c r="F57" t="inlineStr">
        <is>
          <t/>
        </is>
      </c>
      <c r="G57" t="inlineStr">
        <is>
          <t/>
        </is>
      </c>
      <c r="H57" t="inlineStr">
        <is>
          <t/>
        </is>
      </c>
      <c r="I57" t="inlineStr">
        <is>
          <t/>
        </is>
      </c>
      <c r="J57" t="inlineStr">
        <is>
          <t/>
        </is>
      </c>
      <c r="K57" t="inlineStr">
        <is>
          <t/>
        </is>
      </c>
      <c r="L57" t="inlineStr">
        <is>
          <t/>
        </is>
      </c>
      <c r="M57" t="inlineStr">
        <is>
          <t/>
        </is>
      </c>
      <c r="N57" t="inlineStr">
        <is>
          <t/>
        </is>
      </c>
      <c r="O57" t="inlineStr">
        <is>
          <t/>
        </is>
      </c>
      <c r="P57">
        <f>IF(F57="","",IF(G57=XLOOKUP(F57,'Task Scoring Key'!$A:$A,'Task Scoring Key'!$C:$C,""),2,IF(G57=XLOOKUP(F57,'Task Scoring Key'!$A:$A,'Task Scoring Key'!$D:$D,""),1,0)))</f>
      </c>
      <c r="Q57">
        <f>IF(F57="","",IF(H57=XLOOKUP(F57,'Task Scoring Key'!$A:$A,'Task Scoring Key'!$E:$E,""),1,0))</f>
      </c>
      <c r="R57">
        <f>IF(COUNTA(K57:M57)=0,"",AVERAGE(K57:M57))</f>
      </c>
    </row>
    <row r="58">
      <c r="A58" t="inlineStr">
        <is>
          <t/>
        </is>
      </c>
      <c r="B58" t="inlineStr">
        <is>
          <t/>
        </is>
      </c>
      <c r="C58" t="inlineStr">
        <is>
          <t/>
        </is>
      </c>
      <c r="D58" t="inlineStr">
        <is>
          <t/>
        </is>
      </c>
      <c r="E58" t="inlineStr">
        <is>
          <t/>
        </is>
      </c>
      <c r="F58" t="inlineStr">
        <is>
          <t/>
        </is>
      </c>
      <c r="G58" t="inlineStr">
        <is>
          <t/>
        </is>
      </c>
      <c r="H58" t="inlineStr">
        <is>
          <t/>
        </is>
      </c>
      <c r="I58" t="inlineStr">
        <is>
          <t/>
        </is>
      </c>
      <c r="J58" t="inlineStr">
        <is>
          <t/>
        </is>
      </c>
      <c r="K58" t="inlineStr">
        <is>
          <t/>
        </is>
      </c>
      <c r="L58" t="inlineStr">
        <is>
          <t/>
        </is>
      </c>
      <c r="M58" t="inlineStr">
        <is>
          <t/>
        </is>
      </c>
      <c r="N58" t="inlineStr">
        <is>
          <t/>
        </is>
      </c>
      <c r="O58" t="inlineStr">
        <is>
          <t/>
        </is>
      </c>
      <c r="P58">
        <f>IF(F58="","",IF(G58=XLOOKUP(F58,'Task Scoring Key'!$A:$A,'Task Scoring Key'!$C:$C,""),2,IF(G58=XLOOKUP(F58,'Task Scoring Key'!$A:$A,'Task Scoring Key'!$D:$D,""),1,0)))</f>
      </c>
      <c r="Q58">
        <f>IF(F58="","",IF(H58=XLOOKUP(F58,'Task Scoring Key'!$A:$A,'Task Scoring Key'!$E:$E,""),1,0))</f>
      </c>
      <c r="R58">
        <f>IF(COUNTA(K58:M58)=0,"",AVERAGE(K58:M58))</f>
      </c>
    </row>
    <row r="59">
      <c r="A59" t="inlineStr">
        <is>
          <t/>
        </is>
      </c>
      <c r="B59" t="inlineStr">
        <is>
          <t/>
        </is>
      </c>
      <c r="C59" t="inlineStr">
        <is>
          <t/>
        </is>
      </c>
      <c r="D59" t="inlineStr">
        <is>
          <t/>
        </is>
      </c>
      <c r="E59" t="inlineStr">
        <is>
          <t/>
        </is>
      </c>
      <c r="F59" t="inlineStr">
        <is>
          <t/>
        </is>
      </c>
      <c r="G59" t="inlineStr">
        <is>
          <t/>
        </is>
      </c>
      <c r="H59" t="inlineStr">
        <is>
          <t/>
        </is>
      </c>
      <c r="I59" t="inlineStr">
        <is>
          <t/>
        </is>
      </c>
      <c r="J59" t="inlineStr">
        <is>
          <t/>
        </is>
      </c>
      <c r="K59" t="inlineStr">
        <is>
          <t/>
        </is>
      </c>
      <c r="L59" t="inlineStr">
        <is>
          <t/>
        </is>
      </c>
      <c r="M59" t="inlineStr">
        <is>
          <t/>
        </is>
      </c>
      <c r="N59" t="inlineStr">
        <is>
          <t/>
        </is>
      </c>
      <c r="O59" t="inlineStr">
        <is>
          <t/>
        </is>
      </c>
      <c r="P59">
        <f>IF(F59="","",IF(G59=XLOOKUP(F59,'Task Scoring Key'!$A:$A,'Task Scoring Key'!$C:$C,""),2,IF(G59=XLOOKUP(F59,'Task Scoring Key'!$A:$A,'Task Scoring Key'!$D:$D,""),1,0)))</f>
      </c>
      <c r="Q59">
        <f>IF(F59="","",IF(H59=XLOOKUP(F59,'Task Scoring Key'!$A:$A,'Task Scoring Key'!$E:$E,""),1,0))</f>
      </c>
      <c r="R59">
        <f>IF(COUNTA(K59:M59)=0,"",AVERAGE(K59:M59))</f>
      </c>
    </row>
    <row r="60">
      <c r="A60" t="inlineStr">
        <is>
          <t/>
        </is>
      </c>
      <c r="B60" t="inlineStr">
        <is>
          <t/>
        </is>
      </c>
      <c r="C60" t="inlineStr">
        <is>
          <t/>
        </is>
      </c>
      <c r="D60" t="inlineStr">
        <is>
          <t/>
        </is>
      </c>
      <c r="E60" t="inlineStr">
        <is>
          <t/>
        </is>
      </c>
      <c r="F60" t="inlineStr">
        <is>
          <t/>
        </is>
      </c>
      <c r="G60" t="inlineStr">
        <is>
          <t/>
        </is>
      </c>
      <c r="H60" t="inlineStr">
        <is>
          <t/>
        </is>
      </c>
      <c r="I60" t="inlineStr">
        <is>
          <t/>
        </is>
      </c>
      <c r="J60" t="inlineStr">
        <is>
          <t/>
        </is>
      </c>
      <c r="K60" t="inlineStr">
        <is>
          <t/>
        </is>
      </c>
      <c r="L60" t="inlineStr">
        <is>
          <t/>
        </is>
      </c>
      <c r="M60" t="inlineStr">
        <is>
          <t/>
        </is>
      </c>
      <c r="N60" t="inlineStr">
        <is>
          <t/>
        </is>
      </c>
      <c r="O60" t="inlineStr">
        <is>
          <t/>
        </is>
      </c>
      <c r="P60">
        <f>IF(F60="","",IF(G60=XLOOKUP(F60,'Task Scoring Key'!$A:$A,'Task Scoring Key'!$C:$C,""),2,IF(G60=XLOOKUP(F60,'Task Scoring Key'!$A:$A,'Task Scoring Key'!$D:$D,""),1,0)))</f>
      </c>
      <c r="Q60">
        <f>IF(F60="","",IF(H60=XLOOKUP(F60,'Task Scoring Key'!$A:$A,'Task Scoring Key'!$E:$E,""),1,0))</f>
      </c>
      <c r="R60">
        <f>IF(COUNTA(K60:M60)=0,"",AVERAGE(K60:M60))</f>
      </c>
    </row>
    <row r="61">
      <c r="A61" t="inlineStr">
        <is>
          <t/>
        </is>
      </c>
      <c r="B61" t="inlineStr">
        <is>
          <t/>
        </is>
      </c>
      <c r="C61" t="inlineStr">
        <is>
          <t/>
        </is>
      </c>
      <c r="D61" t="inlineStr">
        <is>
          <t/>
        </is>
      </c>
      <c r="E61" t="inlineStr">
        <is>
          <t/>
        </is>
      </c>
      <c r="F61" t="inlineStr">
        <is>
          <t/>
        </is>
      </c>
      <c r="G61" t="inlineStr">
        <is>
          <t/>
        </is>
      </c>
      <c r="H61" t="inlineStr">
        <is>
          <t/>
        </is>
      </c>
      <c r="I61" t="inlineStr">
        <is>
          <t/>
        </is>
      </c>
      <c r="J61" t="inlineStr">
        <is>
          <t/>
        </is>
      </c>
      <c r="K61" t="inlineStr">
        <is>
          <t/>
        </is>
      </c>
      <c r="L61" t="inlineStr">
        <is>
          <t/>
        </is>
      </c>
      <c r="M61" t="inlineStr">
        <is>
          <t/>
        </is>
      </c>
      <c r="N61" t="inlineStr">
        <is>
          <t/>
        </is>
      </c>
      <c r="O61" t="inlineStr">
        <is>
          <t/>
        </is>
      </c>
      <c r="P61">
        <f>IF(F61="","",IF(G61=XLOOKUP(F61,'Task Scoring Key'!$A:$A,'Task Scoring Key'!$C:$C,""),2,IF(G61=XLOOKUP(F61,'Task Scoring Key'!$A:$A,'Task Scoring Key'!$D:$D,""),1,0)))</f>
      </c>
      <c r="Q61">
        <f>IF(F61="","",IF(H61=XLOOKUP(F61,'Task Scoring Key'!$A:$A,'Task Scoring Key'!$E:$E,""),1,0))</f>
      </c>
      <c r="R61">
        <f>IF(COUNTA(K61:M61)=0,"",AVERAGE(K61:M61))</f>
      </c>
    </row>
    <row r="62">
      <c r="A62" t="inlineStr">
        <is>
          <t/>
        </is>
      </c>
      <c r="B62" t="inlineStr">
        <is>
          <t/>
        </is>
      </c>
      <c r="C62" t="inlineStr">
        <is>
          <t/>
        </is>
      </c>
      <c r="D62" t="inlineStr">
        <is>
          <t/>
        </is>
      </c>
      <c r="E62" t="inlineStr">
        <is>
          <t/>
        </is>
      </c>
      <c r="F62" t="inlineStr">
        <is>
          <t/>
        </is>
      </c>
      <c r="G62" t="inlineStr">
        <is>
          <t/>
        </is>
      </c>
      <c r="H62" t="inlineStr">
        <is>
          <t/>
        </is>
      </c>
      <c r="I62" t="inlineStr">
        <is>
          <t/>
        </is>
      </c>
      <c r="J62" t="inlineStr">
        <is>
          <t/>
        </is>
      </c>
      <c r="K62" t="inlineStr">
        <is>
          <t/>
        </is>
      </c>
      <c r="L62" t="inlineStr">
        <is>
          <t/>
        </is>
      </c>
      <c r="M62" t="inlineStr">
        <is>
          <t/>
        </is>
      </c>
      <c r="N62" t="inlineStr">
        <is>
          <t/>
        </is>
      </c>
      <c r="O62" t="inlineStr">
        <is>
          <t/>
        </is>
      </c>
      <c r="P62">
        <f>IF(F62="","",IF(G62=XLOOKUP(F62,'Task Scoring Key'!$A:$A,'Task Scoring Key'!$C:$C,""),2,IF(G62=XLOOKUP(F62,'Task Scoring Key'!$A:$A,'Task Scoring Key'!$D:$D,""),1,0)))</f>
      </c>
      <c r="Q62">
        <f>IF(F62="","",IF(H62=XLOOKUP(F62,'Task Scoring Key'!$A:$A,'Task Scoring Key'!$E:$E,""),1,0))</f>
      </c>
      <c r="R62">
        <f>IF(COUNTA(K62:M62)=0,"",AVERAGE(K62:M62))</f>
      </c>
    </row>
    <row r="63">
      <c r="A63" t="inlineStr">
        <is>
          <t/>
        </is>
      </c>
      <c r="B63" t="inlineStr">
        <is>
          <t/>
        </is>
      </c>
      <c r="C63" t="inlineStr">
        <is>
          <t/>
        </is>
      </c>
      <c r="D63" t="inlineStr">
        <is>
          <t/>
        </is>
      </c>
      <c r="E63" t="inlineStr">
        <is>
          <t/>
        </is>
      </c>
      <c r="F63" t="inlineStr">
        <is>
          <t/>
        </is>
      </c>
      <c r="G63" t="inlineStr">
        <is>
          <t/>
        </is>
      </c>
      <c r="H63" t="inlineStr">
        <is>
          <t/>
        </is>
      </c>
      <c r="I63" t="inlineStr">
        <is>
          <t/>
        </is>
      </c>
      <c r="J63" t="inlineStr">
        <is>
          <t/>
        </is>
      </c>
      <c r="K63" t="inlineStr">
        <is>
          <t/>
        </is>
      </c>
      <c r="L63" t="inlineStr">
        <is>
          <t/>
        </is>
      </c>
      <c r="M63" t="inlineStr">
        <is>
          <t/>
        </is>
      </c>
      <c r="N63" t="inlineStr">
        <is>
          <t/>
        </is>
      </c>
      <c r="O63" t="inlineStr">
        <is>
          <t/>
        </is>
      </c>
      <c r="P63">
        <f>IF(F63="","",IF(G63=XLOOKUP(F63,'Task Scoring Key'!$A:$A,'Task Scoring Key'!$C:$C,""),2,IF(G63=XLOOKUP(F63,'Task Scoring Key'!$A:$A,'Task Scoring Key'!$D:$D,""),1,0)))</f>
      </c>
      <c r="Q63">
        <f>IF(F63="","",IF(H63=XLOOKUP(F63,'Task Scoring Key'!$A:$A,'Task Scoring Key'!$E:$E,""),1,0))</f>
      </c>
      <c r="R63">
        <f>IF(COUNTA(K63:M63)=0,"",AVERAGE(K63:M63))</f>
      </c>
    </row>
    <row r="64">
      <c r="A64" t="inlineStr">
        <is>
          <t/>
        </is>
      </c>
      <c r="B64" t="inlineStr">
        <is>
          <t/>
        </is>
      </c>
      <c r="C64" t="inlineStr">
        <is>
          <t/>
        </is>
      </c>
      <c r="D64" t="inlineStr">
        <is>
          <t/>
        </is>
      </c>
      <c r="E64" t="inlineStr">
        <is>
          <t/>
        </is>
      </c>
      <c r="F64" t="inlineStr">
        <is>
          <t/>
        </is>
      </c>
      <c r="G64" t="inlineStr">
        <is>
          <t/>
        </is>
      </c>
      <c r="H64" t="inlineStr">
        <is>
          <t/>
        </is>
      </c>
      <c r="I64" t="inlineStr">
        <is>
          <t/>
        </is>
      </c>
      <c r="J64" t="inlineStr">
        <is>
          <t/>
        </is>
      </c>
      <c r="K64" t="inlineStr">
        <is>
          <t/>
        </is>
      </c>
      <c r="L64" t="inlineStr">
        <is>
          <t/>
        </is>
      </c>
      <c r="M64" t="inlineStr">
        <is>
          <t/>
        </is>
      </c>
      <c r="N64" t="inlineStr">
        <is>
          <t/>
        </is>
      </c>
      <c r="O64" t="inlineStr">
        <is>
          <t/>
        </is>
      </c>
      <c r="P64">
        <f>IF(F64="","",IF(G64=XLOOKUP(F64,'Task Scoring Key'!$A:$A,'Task Scoring Key'!$C:$C,""),2,IF(G64=XLOOKUP(F64,'Task Scoring Key'!$A:$A,'Task Scoring Key'!$D:$D,""),1,0)))</f>
      </c>
      <c r="Q64">
        <f>IF(F64="","",IF(H64=XLOOKUP(F64,'Task Scoring Key'!$A:$A,'Task Scoring Key'!$E:$E,""),1,0))</f>
      </c>
      <c r="R64">
        <f>IF(COUNTA(K64:M64)=0,"",AVERAGE(K64:M64))</f>
      </c>
    </row>
    <row r="65">
      <c r="A65" t="inlineStr">
        <is>
          <t/>
        </is>
      </c>
      <c r="B65" t="inlineStr">
        <is>
          <t/>
        </is>
      </c>
      <c r="C65" t="inlineStr">
        <is>
          <t/>
        </is>
      </c>
      <c r="D65" t="inlineStr">
        <is>
          <t/>
        </is>
      </c>
      <c r="E65" t="inlineStr">
        <is>
          <t/>
        </is>
      </c>
      <c r="F65" t="inlineStr">
        <is>
          <t/>
        </is>
      </c>
      <c r="G65" t="inlineStr">
        <is>
          <t/>
        </is>
      </c>
      <c r="H65" t="inlineStr">
        <is>
          <t/>
        </is>
      </c>
      <c r="I65" t="inlineStr">
        <is>
          <t/>
        </is>
      </c>
      <c r="J65" t="inlineStr">
        <is>
          <t/>
        </is>
      </c>
      <c r="K65" t="inlineStr">
        <is>
          <t/>
        </is>
      </c>
      <c r="L65" t="inlineStr">
        <is>
          <t/>
        </is>
      </c>
      <c r="M65" t="inlineStr">
        <is>
          <t/>
        </is>
      </c>
      <c r="N65" t="inlineStr">
        <is>
          <t/>
        </is>
      </c>
      <c r="O65" t="inlineStr">
        <is>
          <t/>
        </is>
      </c>
      <c r="P65">
        <f>IF(F65="","",IF(G65=XLOOKUP(F65,'Task Scoring Key'!$A:$A,'Task Scoring Key'!$C:$C,""),2,IF(G65=XLOOKUP(F65,'Task Scoring Key'!$A:$A,'Task Scoring Key'!$D:$D,""),1,0)))</f>
      </c>
      <c r="Q65">
        <f>IF(F65="","",IF(H65=XLOOKUP(F65,'Task Scoring Key'!$A:$A,'Task Scoring Key'!$E:$E,""),1,0))</f>
      </c>
      <c r="R65">
        <f>IF(COUNTA(K65:M65)=0,"",AVERAGE(K65:M65))</f>
      </c>
    </row>
    <row r="66">
      <c r="A66" t="inlineStr">
        <is>
          <t/>
        </is>
      </c>
      <c r="B66" t="inlineStr">
        <is>
          <t/>
        </is>
      </c>
      <c r="C66" t="inlineStr">
        <is>
          <t/>
        </is>
      </c>
      <c r="D66" t="inlineStr">
        <is>
          <t/>
        </is>
      </c>
      <c r="E66" t="inlineStr">
        <is>
          <t/>
        </is>
      </c>
      <c r="F66" t="inlineStr">
        <is>
          <t/>
        </is>
      </c>
      <c r="G66" t="inlineStr">
        <is>
          <t/>
        </is>
      </c>
      <c r="H66" t="inlineStr">
        <is>
          <t/>
        </is>
      </c>
      <c r="I66" t="inlineStr">
        <is>
          <t/>
        </is>
      </c>
      <c r="J66" t="inlineStr">
        <is>
          <t/>
        </is>
      </c>
      <c r="K66" t="inlineStr">
        <is>
          <t/>
        </is>
      </c>
      <c r="L66" t="inlineStr">
        <is>
          <t/>
        </is>
      </c>
      <c r="M66" t="inlineStr">
        <is>
          <t/>
        </is>
      </c>
      <c r="N66" t="inlineStr">
        <is>
          <t/>
        </is>
      </c>
      <c r="O66" t="inlineStr">
        <is>
          <t/>
        </is>
      </c>
      <c r="P66">
        <f>IF(F66="","",IF(G66=XLOOKUP(F66,'Task Scoring Key'!$A:$A,'Task Scoring Key'!$C:$C,""),2,IF(G66=XLOOKUP(F66,'Task Scoring Key'!$A:$A,'Task Scoring Key'!$D:$D,""),1,0)))</f>
      </c>
      <c r="Q66">
        <f>IF(F66="","",IF(H66=XLOOKUP(F66,'Task Scoring Key'!$A:$A,'Task Scoring Key'!$E:$E,""),1,0))</f>
      </c>
      <c r="R66">
        <f>IF(COUNTA(K66:M66)=0,"",AVERAGE(K66:M66))</f>
      </c>
    </row>
    <row r="67">
      <c r="A67" t="inlineStr">
        <is>
          <t/>
        </is>
      </c>
      <c r="B67" t="inlineStr">
        <is>
          <t/>
        </is>
      </c>
      <c r="C67" t="inlineStr">
        <is>
          <t/>
        </is>
      </c>
      <c r="D67" t="inlineStr">
        <is>
          <t/>
        </is>
      </c>
      <c r="E67" t="inlineStr">
        <is>
          <t/>
        </is>
      </c>
      <c r="F67" t="inlineStr">
        <is>
          <t/>
        </is>
      </c>
      <c r="G67" t="inlineStr">
        <is>
          <t/>
        </is>
      </c>
      <c r="H67" t="inlineStr">
        <is>
          <t/>
        </is>
      </c>
      <c r="I67" t="inlineStr">
        <is>
          <t/>
        </is>
      </c>
      <c r="J67" t="inlineStr">
        <is>
          <t/>
        </is>
      </c>
      <c r="K67" t="inlineStr">
        <is>
          <t/>
        </is>
      </c>
      <c r="L67" t="inlineStr">
        <is>
          <t/>
        </is>
      </c>
      <c r="M67" t="inlineStr">
        <is>
          <t/>
        </is>
      </c>
      <c r="N67" t="inlineStr">
        <is>
          <t/>
        </is>
      </c>
      <c r="O67" t="inlineStr">
        <is>
          <t/>
        </is>
      </c>
      <c r="P67">
        <f>IF(F67="","",IF(G67=XLOOKUP(F67,'Task Scoring Key'!$A:$A,'Task Scoring Key'!$C:$C,""),2,IF(G67=XLOOKUP(F67,'Task Scoring Key'!$A:$A,'Task Scoring Key'!$D:$D,""),1,0)))</f>
      </c>
      <c r="Q67">
        <f>IF(F67="","",IF(H67=XLOOKUP(F67,'Task Scoring Key'!$A:$A,'Task Scoring Key'!$E:$E,""),1,0))</f>
      </c>
      <c r="R67">
        <f>IF(COUNTA(K67:M67)=0,"",AVERAGE(K67:M67))</f>
      </c>
    </row>
    <row r="68">
      <c r="A68" t="inlineStr">
        <is>
          <t/>
        </is>
      </c>
      <c r="B68" t="inlineStr">
        <is>
          <t/>
        </is>
      </c>
      <c r="C68" t="inlineStr">
        <is>
          <t/>
        </is>
      </c>
      <c r="D68" t="inlineStr">
        <is>
          <t/>
        </is>
      </c>
      <c r="E68" t="inlineStr">
        <is>
          <t/>
        </is>
      </c>
      <c r="F68" t="inlineStr">
        <is>
          <t/>
        </is>
      </c>
      <c r="G68" t="inlineStr">
        <is>
          <t/>
        </is>
      </c>
      <c r="H68" t="inlineStr">
        <is>
          <t/>
        </is>
      </c>
      <c r="I68" t="inlineStr">
        <is>
          <t/>
        </is>
      </c>
      <c r="J68" t="inlineStr">
        <is>
          <t/>
        </is>
      </c>
      <c r="K68" t="inlineStr">
        <is>
          <t/>
        </is>
      </c>
      <c r="L68" t="inlineStr">
        <is>
          <t/>
        </is>
      </c>
      <c r="M68" t="inlineStr">
        <is>
          <t/>
        </is>
      </c>
      <c r="N68" t="inlineStr">
        <is>
          <t/>
        </is>
      </c>
      <c r="O68" t="inlineStr">
        <is>
          <t/>
        </is>
      </c>
      <c r="P68">
        <f>IF(F68="","",IF(G68=XLOOKUP(F68,'Task Scoring Key'!$A:$A,'Task Scoring Key'!$C:$C,""),2,IF(G68=XLOOKUP(F68,'Task Scoring Key'!$A:$A,'Task Scoring Key'!$D:$D,""),1,0)))</f>
      </c>
      <c r="Q68">
        <f>IF(F68="","",IF(H68=XLOOKUP(F68,'Task Scoring Key'!$A:$A,'Task Scoring Key'!$E:$E,""),1,0))</f>
      </c>
      <c r="R68">
        <f>IF(COUNTA(K68:M68)=0,"",AVERAGE(K68:M68))</f>
      </c>
    </row>
    <row r="69">
      <c r="A69" t="inlineStr">
        <is>
          <t/>
        </is>
      </c>
      <c r="B69" t="inlineStr">
        <is>
          <t/>
        </is>
      </c>
      <c r="C69" t="inlineStr">
        <is>
          <t/>
        </is>
      </c>
      <c r="D69" t="inlineStr">
        <is>
          <t/>
        </is>
      </c>
      <c r="E69" t="inlineStr">
        <is>
          <t/>
        </is>
      </c>
      <c r="F69" t="inlineStr">
        <is>
          <t/>
        </is>
      </c>
      <c r="G69" t="inlineStr">
        <is>
          <t/>
        </is>
      </c>
      <c r="H69" t="inlineStr">
        <is>
          <t/>
        </is>
      </c>
      <c r="I69" t="inlineStr">
        <is>
          <t/>
        </is>
      </c>
      <c r="J69" t="inlineStr">
        <is>
          <t/>
        </is>
      </c>
      <c r="K69" t="inlineStr">
        <is>
          <t/>
        </is>
      </c>
      <c r="L69" t="inlineStr">
        <is>
          <t/>
        </is>
      </c>
      <c r="M69" t="inlineStr">
        <is>
          <t/>
        </is>
      </c>
      <c r="N69" t="inlineStr">
        <is>
          <t/>
        </is>
      </c>
      <c r="O69" t="inlineStr">
        <is>
          <t/>
        </is>
      </c>
      <c r="P69">
        <f>IF(F69="","",IF(G69=XLOOKUP(F69,'Task Scoring Key'!$A:$A,'Task Scoring Key'!$C:$C,""),2,IF(G69=XLOOKUP(F69,'Task Scoring Key'!$A:$A,'Task Scoring Key'!$D:$D,""),1,0)))</f>
      </c>
      <c r="Q69">
        <f>IF(F69="","",IF(H69=XLOOKUP(F69,'Task Scoring Key'!$A:$A,'Task Scoring Key'!$E:$E,""),1,0))</f>
      </c>
      <c r="R69">
        <f>IF(COUNTA(K69:M69)=0,"",AVERAGE(K69:M69))</f>
      </c>
    </row>
    <row r="70">
      <c r="A70" t="inlineStr">
        <is>
          <t/>
        </is>
      </c>
      <c r="B70" t="inlineStr">
        <is>
          <t/>
        </is>
      </c>
      <c r="C70" t="inlineStr">
        <is>
          <t/>
        </is>
      </c>
      <c r="D70" t="inlineStr">
        <is>
          <t/>
        </is>
      </c>
      <c r="E70" t="inlineStr">
        <is>
          <t/>
        </is>
      </c>
      <c r="F70" t="inlineStr">
        <is>
          <t/>
        </is>
      </c>
      <c r="G70" t="inlineStr">
        <is>
          <t/>
        </is>
      </c>
      <c r="H70" t="inlineStr">
        <is>
          <t/>
        </is>
      </c>
      <c r="I70" t="inlineStr">
        <is>
          <t/>
        </is>
      </c>
      <c r="J70" t="inlineStr">
        <is>
          <t/>
        </is>
      </c>
      <c r="K70" t="inlineStr">
        <is>
          <t/>
        </is>
      </c>
      <c r="L70" t="inlineStr">
        <is>
          <t/>
        </is>
      </c>
      <c r="M70" t="inlineStr">
        <is>
          <t/>
        </is>
      </c>
      <c r="N70" t="inlineStr">
        <is>
          <t/>
        </is>
      </c>
      <c r="O70" t="inlineStr">
        <is>
          <t/>
        </is>
      </c>
      <c r="P70">
        <f>IF(F70="","",IF(G70=XLOOKUP(F70,'Task Scoring Key'!$A:$A,'Task Scoring Key'!$C:$C,""),2,IF(G70=XLOOKUP(F70,'Task Scoring Key'!$A:$A,'Task Scoring Key'!$D:$D,""),1,0)))</f>
      </c>
      <c r="Q70">
        <f>IF(F70="","",IF(H70=XLOOKUP(F70,'Task Scoring Key'!$A:$A,'Task Scoring Key'!$E:$E,""),1,0))</f>
      </c>
      <c r="R70">
        <f>IF(COUNTA(K70:M70)=0,"",AVERAGE(K70:M70))</f>
      </c>
    </row>
    <row r="71">
      <c r="A71" t="inlineStr">
        <is>
          <t/>
        </is>
      </c>
      <c r="B71" t="inlineStr">
        <is>
          <t/>
        </is>
      </c>
      <c r="C71" t="inlineStr">
        <is>
          <t/>
        </is>
      </c>
      <c r="D71" t="inlineStr">
        <is>
          <t/>
        </is>
      </c>
      <c r="E71" t="inlineStr">
        <is>
          <t/>
        </is>
      </c>
      <c r="F71" t="inlineStr">
        <is>
          <t/>
        </is>
      </c>
      <c r="G71" t="inlineStr">
        <is>
          <t/>
        </is>
      </c>
      <c r="H71" t="inlineStr">
        <is>
          <t/>
        </is>
      </c>
      <c r="I71" t="inlineStr">
        <is>
          <t/>
        </is>
      </c>
      <c r="J71" t="inlineStr">
        <is>
          <t/>
        </is>
      </c>
      <c r="K71" t="inlineStr">
        <is>
          <t/>
        </is>
      </c>
      <c r="L71" t="inlineStr">
        <is>
          <t/>
        </is>
      </c>
      <c r="M71" t="inlineStr">
        <is>
          <t/>
        </is>
      </c>
      <c r="N71" t="inlineStr">
        <is>
          <t/>
        </is>
      </c>
      <c r="O71" t="inlineStr">
        <is>
          <t/>
        </is>
      </c>
      <c r="P71">
        <f>IF(F71="","",IF(G71=XLOOKUP(F71,'Task Scoring Key'!$A:$A,'Task Scoring Key'!$C:$C,""),2,IF(G71=XLOOKUP(F71,'Task Scoring Key'!$A:$A,'Task Scoring Key'!$D:$D,""),1,0)))</f>
      </c>
      <c r="Q71">
        <f>IF(F71="","",IF(H71=XLOOKUP(F71,'Task Scoring Key'!$A:$A,'Task Scoring Key'!$E:$E,""),1,0))</f>
      </c>
      <c r="R71">
        <f>IF(COUNTA(K71:M71)=0,"",AVERAGE(K71:M71))</f>
      </c>
    </row>
    <row r="72">
      <c r="A72" t="inlineStr">
        <is>
          <t/>
        </is>
      </c>
      <c r="B72" t="inlineStr">
        <is>
          <t/>
        </is>
      </c>
      <c r="C72" t="inlineStr">
        <is>
          <t/>
        </is>
      </c>
      <c r="D72" t="inlineStr">
        <is>
          <t/>
        </is>
      </c>
      <c r="E72" t="inlineStr">
        <is>
          <t/>
        </is>
      </c>
      <c r="F72" t="inlineStr">
        <is>
          <t/>
        </is>
      </c>
      <c r="G72" t="inlineStr">
        <is>
          <t/>
        </is>
      </c>
      <c r="H72" t="inlineStr">
        <is>
          <t/>
        </is>
      </c>
      <c r="I72" t="inlineStr">
        <is>
          <t/>
        </is>
      </c>
      <c r="J72" t="inlineStr">
        <is>
          <t/>
        </is>
      </c>
      <c r="K72" t="inlineStr">
        <is>
          <t/>
        </is>
      </c>
      <c r="L72" t="inlineStr">
        <is>
          <t/>
        </is>
      </c>
      <c r="M72" t="inlineStr">
        <is>
          <t/>
        </is>
      </c>
      <c r="N72" t="inlineStr">
        <is>
          <t/>
        </is>
      </c>
      <c r="O72" t="inlineStr">
        <is>
          <t/>
        </is>
      </c>
      <c r="P72">
        <f>IF(F72="","",IF(G72=XLOOKUP(F72,'Task Scoring Key'!$A:$A,'Task Scoring Key'!$C:$C,""),2,IF(G72=XLOOKUP(F72,'Task Scoring Key'!$A:$A,'Task Scoring Key'!$D:$D,""),1,0)))</f>
      </c>
      <c r="Q72">
        <f>IF(F72="","",IF(H72=XLOOKUP(F72,'Task Scoring Key'!$A:$A,'Task Scoring Key'!$E:$E,""),1,0))</f>
      </c>
      <c r="R72">
        <f>IF(COUNTA(K72:M72)=0,"",AVERAGE(K72:M72))</f>
      </c>
    </row>
    <row r="73">
      <c r="A73" t="inlineStr">
        <is>
          <t/>
        </is>
      </c>
      <c r="B73" t="inlineStr">
        <is>
          <t/>
        </is>
      </c>
      <c r="C73" t="inlineStr">
        <is>
          <t/>
        </is>
      </c>
      <c r="D73" t="inlineStr">
        <is>
          <t/>
        </is>
      </c>
      <c r="E73" t="inlineStr">
        <is>
          <t/>
        </is>
      </c>
      <c r="F73" t="inlineStr">
        <is>
          <t/>
        </is>
      </c>
      <c r="G73" t="inlineStr">
        <is>
          <t/>
        </is>
      </c>
      <c r="H73" t="inlineStr">
        <is>
          <t/>
        </is>
      </c>
      <c r="I73" t="inlineStr">
        <is>
          <t/>
        </is>
      </c>
      <c r="J73" t="inlineStr">
        <is>
          <t/>
        </is>
      </c>
      <c r="K73" t="inlineStr">
        <is>
          <t/>
        </is>
      </c>
      <c r="L73" t="inlineStr">
        <is>
          <t/>
        </is>
      </c>
      <c r="M73" t="inlineStr">
        <is>
          <t/>
        </is>
      </c>
      <c r="N73" t="inlineStr">
        <is>
          <t/>
        </is>
      </c>
      <c r="O73" t="inlineStr">
        <is>
          <t/>
        </is>
      </c>
      <c r="P73">
        <f>IF(F73="","",IF(G73=XLOOKUP(F73,'Task Scoring Key'!$A:$A,'Task Scoring Key'!$C:$C,""),2,IF(G73=XLOOKUP(F73,'Task Scoring Key'!$A:$A,'Task Scoring Key'!$D:$D,""),1,0)))</f>
      </c>
      <c r="Q73">
        <f>IF(F73="","",IF(H73=XLOOKUP(F73,'Task Scoring Key'!$A:$A,'Task Scoring Key'!$E:$E,""),1,0))</f>
      </c>
      <c r="R73">
        <f>IF(COUNTA(K73:M73)=0,"",AVERAGE(K73:M73))</f>
      </c>
    </row>
    <row r="74">
      <c r="A74" t="inlineStr">
        <is>
          <t/>
        </is>
      </c>
      <c r="B74" t="inlineStr">
        <is>
          <t/>
        </is>
      </c>
      <c r="C74" t="inlineStr">
        <is>
          <t/>
        </is>
      </c>
      <c r="D74" t="inlineStr">
        <is>
          <t/>
        </is>
      </c>
      <c r="E74" t="inlineStr">
        <is>
          <t/>
        </is>
      </c>
      <c r="F74" t="inlineStr">
        <is>
          <t/>
        </is>
      </c>
      <c r="G74" t="inlineStr">
        <is>
          <t/>
        </is>
      </c>
      <c r="H74" t="inlineStr">
        <is>
          <t/>
        </is>
      </c>
      <c r="I74" t="inlineStr">
        <is>
          <t/>
        </is>
      </c>
      <c r="J74" t="inlineStr">
        <is>
          <t/>
        </is>
      </c>
      <c r="K74" t="inlineStr">
        <is>
          <t/>
        </is>
      </c>
      <c r="L74" t="inlineStr">
        <is>
          <t/>
        </is>
      </c>
      <c r="M74" t="inlineStr">
        <is>
          <t/>
        </is>
      </c>
      <c r="N74" t="inlineStr">
        <is>
          <t/>
        </is>
      </c>
      <c r="O74" t="inlineStr">
        <is>
          <t/>
        </is>
      </c>
      <c r="P74">
        <f>IF(F74="","",IF(G74=XLOOKUP(F74,'Task Scoring Key'!$A:$A,'Task Scoring Key'!$C:$C,""),2,IF(G74=XLOOKUP(F74,'Task Scoring Key'!$A:$A,'Task Scoring Key'!$D:$D,""),1,0)))</f>
      </c>
      <c r="Q74">
        <f>IF(F74="","",IF(H74=XLOOKUP(F74,'Task Scoring Key'!$A:$A,'Task Scoring Key'!$E:$E,""),1,0))</f>
      </c>
      <c r="R74">
        <f>IF(COUNTA(K74:M74)=0,"",AVERAGE(K74:M74))</f>
      </c>
    </row>
    <row r="75">
      <c r="A75" t="inlineStr">
        <is>
          <t/>
        </is>
      </c>
      <c r="B75" t="inlineStr">
        <is>
          <t/>
        </is>
      </c>
      <c r="C75" t="inlineStr">
        <is>
          <t/>
        </is>
      </c>
      <c r="D75" t="inlineStr">
        <is>
          <t/>
        </is>
      </c>
      <c r="E75" t="inlineStr">
        <is>
          <t/>
        </is>
      </c>
      <c r="F75" t="inlineStr">
        <is>
          <t/>
        </is>
      </c>
      <c r="G75" t="inlineStr">
        <is>
          <t/>
        </is>
      </c>
      <c r="H75" t="inlineStr">
        <is>
          <t/>
        </is>
      </c>
      <c r="I75" t="inlineStr">
        <is>
          <t/>
        </is>
      </c>
      <c r="J75" t="inlineStr">
        <is>
          <t/>
        </is>
      </c>
      <c r="K75" t="inlineStr">
        <is>
          <t/>
        </is>
      </c>
      <c r="L75" t="inlineStr">
        <is>
          <t/>
        </is>
      </c>
      <c r="M75" t="inlineStr">
        <is>
          <t/>
        </is>
      </c>
      <c r="N75" t="inlineStr">
        <is>
          <t/>
        </is>
      </c>
      <c r="O75" t="inlineStr">
        <is>
          <t/>
        </is>
      </c>
      <c r="P75">
        <f>IF(F75="","",IF(G75=XLOOKUP(F75,'Task Scoring Key'!$A:$A,'Task Scoring Key'!$C:$C,""),2,IF(G75=XLOOKUP(F75,'Task Scoring Key'!$A:$A,'Task Scoring Key'!$D:$D,""),1,0)))</f>
      </c>
      <c r="Q75">
        <f>IF(F75="","",IF(H75=XLOOKUP(F75,'Task Scoring Key'!$A:$A,'Task Scoring Key'!$E:$E,""),1,0))</f>
      </c>
      <c r="R75">
        <f>IF(COUNTA(K75:M75)=0,"",AVERAGE(K75:M75))</f>
      </c>
    </row>
    <row r="76">
      <c r="A76" t="inlineStr">
        <is>
          <t/>
        </is>
      </c>
      <c r="B76" t="inlineStr">
        <is>
          <t/>
        </is>
      </c>
      <c r="C76" t="inlineStr">
        <is>
          <t/>
        </is>
      </c>
      <c r="D76" t="inlineStr">
        <is>
          <t/>
        </is>
      </c>
      <c r="E76" t="inlineStr">
        <is>
          <t/>
        </is>
      </c>
      <c r="F76" t="inlineStr">
        <is>
          <t/>
        </is>
      </c>
      <c r="G76" t="inlineStr">
        <is>
          <t/>
        </is>
      </c>
      <c r="H76" t="inlineStr">
        <is>
          <t/>
        </is>
      </c>
      <c r="I76" t="inlineStr">
        <is>
          <t/>
        </is>
      </c>
      <c r="J76" t="inlineStr">
        <is>
          <t/>
        </is>
      </c>
      <c r="K76" t="inlineStr">
        <is>
          <t/>
        </is>
      </c>
      <c r="L76" t="inlineStr">
        <is>
          <t/>
        </is>
      </c>
      <c r="M76" t="inlineStr">
        <is>
          <t/>
        </is>
      </c>
      <c r="N76" t="inlineStr">
        <is>
          <t/>
        </is>
      </c>
      <c r="O76" t="inlineStr">
        <is>
          <t/>
        </is>
      </c>
      <c r="P76">
        <f>IF(F76="","",IF(G76=XLOOKUP(F76,'Task Scoring Key'!$A:$A,'Task Scoring Key'!$C:$C,""),2,IF(G76=XLOOKUP(F76,'Task Scoring Key'!$A:$A,'Task Scoring Key'!$D:$D,""),1,0)))</f>
      </c>
      <c r="Q76">
        <f>IF(F76="","",IF(H76=XLOOKUP(F76,'Task Scoring Key'!$A:$A,'Task Scoring Key'!$E:$E,""),1,0))</f>
      </c>
      <c r="R76">
        <f>IF(COUNTA(K76:M76)=0,"",AVERAGE(K76:M76))</f>
      </c>
    </row>
    <row r="77">
      <c r="A77" t="inlineStr">
        <is>
          <t/>
        </is>
      </c>
      <c r="B77" t="inlineStr">
        <is>
          <t/>
        </is>
      </c>
      <c r="C77" t="inlineStr">
        <is>
          <t/>
        </is>
      </c>
      <c r="D77" t="inlineStr">
        <is>
          <t/>
        </is>
      </c>
      <c r="E77" t="inlineStr">
        <is>
          <t/>
        </is>
      </c>
      <c r="F77" t="inlineStr">
        <is>
          <t/>
        </is>
      </c>
      <c r="G77" t="inlineStr">
        <is>
          <t/>
        </is>
      </c>
      <c r="H77" t="inlineStr">
        <is>
          <t/>
        </is>
      </c>
      <c r="I77" t="inlineStr">
        <is>
          <t/>
        </is>
      </c>
      <c r="J77" t="inlineStr">
        <is>
          <t/>
        </is>
      </c>
      <c r="K77" t="inlineStr">
        <is>
          <t/>
        </is>
      </c>
      <c r="L77" t="inlineStr">
        <is>
          <t/>
        </is>
      </c>
      <c r="M77" t="inlineStr">
        <is>
          <t/>
        </is>
      </c>
      <c r="N77" t="inlineStr">
        <is>
          <t/>
        </is>
      </c>
      <c r="O77" t="inlineStr">
        <is>
          <t/>
        </is>
      </c>
      <c r="P77">
        <f>IF(F77="","",IF(G77=XLOOKUP(F77,'Task Scoring Key'!$A:$A,'Task Scoring Key'!$C:$C,""),2,IF(G77=XLOOKUP(F77,'Task Scoring Key'!$A:$A,'Task Scoring Key'!$D:$D,""),1,0)))</f>
      </c>
      <c r="Q77">
        <f>IF(F77="","",IF(H77=XLOOKUP(F77,'Task Scoring Key'!$A:$A,'Task Scoring Key'!$E:$E,""),1,0))</f>
      </c>
      <c r="R77">
        <f>IF(COUNTA(K77:M77)=0,"",AVERAGE(K77:M77))</f>
      </c>
    </row>
    <row r="78">
      <c r="A78" t="inlineStr">
        <is>
          <t/>
        </is>
      </c>
      <c r="B78" t="inlineStr">
        <is>
          <t/>
        </is>
      </c>
      <c r="C78" t="inlineStr">
        <is>
          <t/>
        </is>
      </c>
      <c r="D78" t="inlineStr">
        <is>
          <t/>
        </is>
      </c>
      <c r="E78" t="inlineStr">
        <is>
          <t/>
        </is>
      </c>
      <c r="F78" t="inlineStr">
        <is>
          <t/>
        </is>
      </c>
      <c r="G78" t="inlineStr">
        <is>
          <t/>
        </is>
      </c>
      <c r="H78" t="inlineStr">
        <is>
          <t/>
        </is>
      </c>
      <c r="I78" t="inlineStr">
        <is>
          <t/>
        </is>
      </c>
      <c r="J78" t="inlineStr">
        <is>
          <t/>
        </is>
      </c>
      <c r="K78" t="inlineStr">
        <is>
          <t/>
        </is>
      </c>
      <c r="L78" t="inlineStr">
        <is>
          <t/>
        </is>
      </c>
      <c r="M78" t="inlineStr">
        <is>
          <t/>
        </is>
      </c>
      <c r="N78" t="inlineStr">
        <is>
          <t/>
        </is>
      </c>
      <c r="O78" t="inlineStr">
        <is>
          <t/>
        </is>
      </c>
      <c r="P78">
        <f>IF(F78="","",IF(G78=XLOOKUP(F78,'Task Scoring Key'!$A:$A,'Task Scoring Key'!$C:$C,""),2,IF(G78=XLOOKUP(F78,'Task Scoring Key'!$A:$A,'Task Scoring Key'!$D:$D,""),1,0)))</f>
      </c>
      <c r="Q78">
        <f>IF(F78="","",IF(H78=XLOOKUP(F78,'Task Scoring Key'!$A:$A,'Task Scoring Key'!$E:$E,""),1,0))</f>
      </c>
      <c r="R78">
        <f>IF(COUNTA(K78:M78)=0,"",AVERAGE(K78:M78))</f>
      </c>
    </row>
    <row r="79">
      <c r="A79" t="inlineStr">
        <is>
          <t/>
        </is>
      </c>
      <c r="B79" t="inlineStr">
        <is>
          <t/>
        </is>
      </c>
      <c r="C79" t="inlineStr">
        <is>
          <t/>
        </is>
      </c>
      <c r="D79" t="inlineStr">
        <is>
          <t/>
        </is>
      </c>
      <c r="E79" t="inlineStr">
        <is>
          <t/>
        </is>
      </c>
      <c r="F79" t="inlineStr">
        <is>
          <t/>
        </is>
      </c>
      <c r="G79" t="inlineStr">
        <is>
          <t/>
        </is>
      </c>
      <c r="H79" t="inlineStr">
        <is>
          <t/>
        </is>
      </c>
      <c r="I79" t="inlineStr">
        <is>
          <t/>
        </is>
      </c>
      <c r="J79" t="inlineStr">
        <is>
          <t/>
        </is>
      </c>
      <c r="K79" t="inlineStr">
        <is>
          <t/>
        </is>
      </c>
      <c r="L79" t="inlineStr">
        <is>
          <t/>
        </is>
      </c>
      <c r="M79" t="inlineStr">
        <is>
          <t/>
        </is>
      </c>
      <c r="N79" t="inlineStr">
        <is>
          <t/>
        </is>
      </c>
      <c r="O79" t="inlineStr">
        <is>
          <t/>
        </is>
      </c>
      <c r="P79">
        <f>IF(F79="","",IF(G79=XLOOKUP(F79,'Task Scoring Key'!$A:$A,'Task Scoring Key'!$C:$C,""),2,IF(G79=XLOOKUP(F79,'Task Scoring Key'!$A:$A,'Task Scoring Key'!$D:$D,""),1,0)))</f>
      </c>
      <c r="Q79">
        <f>IF(F79="","",IF(H79=XLOOKUP(F79,'Task Scoring Key'!$A:$A,'Task Scoring Key'!$E:$E,""),1,0))</f>
      </c>
      <c r="R79">
        <f>IF(COUNTA(K79:M79)=0,"",AVERAGE(K79:M79))</f>
      </c>
    </row>
    <row r="80">
      <c r="A80" t="inlineStr">
        <is>
          <t/>
        </is>
      </c>
      <c r="B80" t="inlineStr">
        <is>
          <t/>
        </is>
      </c>
      <c r="C80" t="inlineStr">
        <is>
          <t/>
        </is>
      </c>
      <c r="D80" t="inlineStr">
        <is>
          <t/>
        </is>
      </c>
      <c r="E80" t="inlineStr">
        <is>
          <t/>
        </is>
      </c>
      <c r="F80" t="inlineStr">
        <is>
          <t/>
        </is>
      </c>
      <c r="G80" t="inlineStr">
        <is>
          <t/>
        </is>
      </c>
      <c r="H80" t="inlineStr">
        <is>
          <t/>
        </is>
      </c>
      <c r="I80" t="inlineStr">
        <is>
          <t/>
        </is>
      </c>
      <c r="J80" t="inlineStr">
        <is>
          <t/>
        </is>
      </c>
      <c r="K80" t="inlineStr">
        <is>
          <t/>
        </is>
      </c>
      <c r="L80" t="inlineStr">
        <is>
          <t/>
        </is>
      </c>
      <c r="M80" t="inlineStr">
        <is>
          <t/>
        </is>
      </c>
      <c r="N80" t="inlineStr">
        <is>
          <t/>
        </is>
      </c>
      <c r="O80" t="inlineStr">
        <is>
          <t/>
        </is>
      </c>
      <c r="P80">
        <f>IF(F80="","",IF(G80=XLOOKUP(F80,'Task Scoring Key'!$A:$A,'Task Scoring Key'!$C:$C,""),2,IF(G80=XLOOKUP(F80,'Task Scoring Key'!$A:$A,'Task Scoring Key'!$D:$D,""),1,0)))</f>
      </c>
      <c r="Q80">
        <f>IF(F80="","",IF(H80=XLOOKUP(F80,'Task Scoring Key'!$A:$A,'Task Scoring Key'!$E:$E,""),1,0))</f>
      </c>
      <c r="R80">
        <f>IF(COUNTA(K80:M80)=0,"",AVERAGE(K80:M80))</f>
      </c>
    </row>
    <row r="81">
      <c r="A81" t="inlineStr">
        <is>
          <t/>
        </is>
      </c>
      <c r="B81" t="inlineStr">
        <is>
          <t/>
        </is>
      </c>
      <c r="C81" t="inlineStr">
        <is>
          <t/>
        </is>
      </c>
      <c r="D81" t="inlineStr">
        <is>
          <t/>
        </is>
      </c>
      <c r="E81" t="inlineStr">
        <is>
          <t/>
        </is>
      </c>
      <c r="F81" t="inlineStr">
        <is>
          <t/>
        </is>
      </c>
      <c r="G81" t="inlineStr">
        <is>
          <t/>
        </is>
      </c>
      <c r="H81" t="inlineStr">
        <is>
          <t/>
        </is>
      </c>
      <c r="I81" t="inlineStr">
        <is>
          <t/>
        </is>
      </c>
      <c r="J81" t="inlineStr">
        <is>
          <t/>
        </is>
      </c>
      <c r="K81" t="inlineStr">
        <is>
          <t/>
        </is>
      </c>
      <c r="L81" t="inlineStr">
        <is>
          <t/>
        </is>
      </c>
      <c r="M81" t="inlineStr">
        <is>
          <t/>
        </is>
      </c>
      <c r="N81" t="inlineStr">
        <is>
          <t/>
        </is>
      </c>
      <c r="O81" t="inlineStr">
        <is>
          <t/>
        </is>
      </c>
      <c r="P81">
        <f>IF(F81="","",IF(G81=XLOOKUP(F81,'Task Scoring Key'!$A:$A,'Task Scoring Key'!$C:$C,""),2,IF(G81=XLOOKUP(F81,'Task Scoring Key'!$A:$A,'Task Scoring Key'!$D:$D,""),1,0)))</f>
      </c>
      <c r="Q81">
        <f>IF(F81="","",IF(H81=XLOOKUP(F81,'Task Scoring Key'!$A:$A,'Task Scoring Key'!$E:$E,""),1,0))</f>
      </c>
      <c r="R81">
        <f>IF(COUNTA(K81:M81)=0,"",AVERAGE(K81:M81))</f>
      </c>
    </row>
    <row r="82">
      <c r="A82" t="inlineStr">
        <is>
          <t/>
        </is>
      </c>
      <c r="B82" t="inlineStr">
        <is>
          <t/>
        </is>
      </c>
      <c r="C82" t="inlineStr">
        <is>
          <t/>
        </is>
      </c>
      <c r="D82" t="inlineStr">
        <is>
          <t/>
        </is>
      </c>
      <c r="E82" t="inlineStr">
        <is>
          <t/>
        </is>
      </c>
      <c r="F82" t="inlineStr">
        <is>
          <t/>
        </is>
      </c>
      <c r="G82" t="inlineStr">
        <is>
          <t/>
        </is>
      </c>
      <c r="H82" t="inlineStr">
        <is>
          <t/>
        </is>
      </c>
      <c r="I82" t="inlineStr">
        <is>
          <t/>
        </is>
      </c>
      <c r="J82" t="inlineStr">
        <is>
          <t/>
        </is>
      </c>
      <c r="K82" t="inlineStr">
        <is>
          <t/>
        </is>
      </c>
      <c r="L82" t="inlineStr">
        <is>
          <t/>
        </is>
      </c>
      <c r="M82" t="inlineStr">
        <is>
          <t/>
        </is>
      </c>
      <c r="N82" t="inlineStr">
        <is>
          <t/>
        </is>
      </c>
      <c r="O82" t="inlineStr">
        <is>
          <t/>
        </is>
      </c>
      <c r="P82">
        <f>IF(F82="","",IF(G82=XLOOKUP(F82,'Task Scoring Key'!$A:$A,'Task Scoring Key'!$C:$C,""),2,IF(G82=XLOOKUP(F82,'Task Scoring Key'!$A:$A,'Task Scoring Key'!$D:$D,""),1,0)))</f>
      </c>
      <c r="Q82">
        <f>IF(F82="","",IF(H82=XLOOKUP(F82,'Task Scoring Key'!$A:$A,'Task Scoring Key'!$E:$E,""),1,0))</f>
      </c>
      <c r="R82">
        <f>IF(COUNTA(K82:M82)=0,"",AVERAGE(K82:M82))</f>
      </c>
    </row>
    <row r="83">
      <c r="A83" t="inlineStr">
        <is>
          <t/>
        </is>
      </c>
      <c r="B83" t="inlineStr">
        <is>
          <t/>
        </is>
      </c>
      <c r="C83" t="inlineStr">
        <is>
          <t/>
        </is>
      </c>
      <c r="D83" t="inlineStr">
        <is>
          <t/>
        </is>
      </c>
      <c r="E83" t="inlineStr">
        <is>
          <t/>
        </is>
      </c>
      <c r="F83" t="inlineStr">
        <is>
          <t/>
        </is>
      </c>
      <c r="G83" t="inlineStr">
        <is>
          <t/>
        </is>
      </c>
      <c r="H83" t="inlineStr">
        <is>
          <t/>
        </is>
      </c>
      <c r="I83" t="inlineStr">
        <is>
          <t/>
        </is>
      </c>
      <c r="J83" t="inlineStr">
        <is>
          <t/>
        </is>
      </c>
      <c r="K83" t="inlineStr">
        <is>
          <t/>
        </is>
      </c>
      <c r="L83" t="inlineStr">
        <is>
          <t/>
        </is>
      </c>
      <c r="M83" t="inlineStr">
        <is>
          <t/>
        </is>
      </c>
      <c r="N83" t="inlineStr">
        <is>
          <t/>
        </is>
      </c>
      <c r="O83" t="inlineStr">
        <is>
          <t/>
        </is>
      </c>
      <c r="P83">
        <f>IF(F83="","",IF(G83=XLOOKUP(F83,'Task Scoring Key'!$A:$A,'Task Scoring Key'!$C:$C,""),2,IF(G83=XLOOKUP(F83,'Task Scoring Key'!$A:$A,'Task Scoring Key'!$D:$D,""),1,0)))</f>
      </c>
      <c r="Q83">
        <f>IF(F83="","",IF(H83=XLOOKUP(F83,'Task Scoring Key'!$A:$A,'Task Scoring Key'!$E:$E,""),1,0))</f>
      </c>
      <c r="R83">
        <f>IF(COUNTA(K83:M83)=0,"",AVERAGE(K83:M83))</f>
      </c>
    </row>
    <row r="84">
      <c r="A84" t="inlineStr">
        <is>
          <t/>
        </is>
      </c>
      <c r="B84" t="inlineStr">
        <is>
          <t/>
        </is>
      </c>
      <c r="C84" t="inlineStr">
        <is>
          <t/>
        </is>
      </c>
      <c r="D84" t="inlineStr">
        <is>
          <t/>
        </is>
      </c>
      <c r="E84" t="inlineStr">
        <is>
          <t/>
        </is>
      </c>
      <c r="F84" t="inlineStr">
        <is>
          <t/>
        </is>
      </c>
      <c r="G84" t="inlineStr">
        <is>
          <t/>
        </is>
      </c>
      <c r="H84" t="inlineStr">
        <is>
          <t/>
        </is>
      </c>
      <c r="I84" t="inlineStr">
        <is>
          <t/>
        </is>
      </c>
      <c r="J84" t="inlineStr">
        <is>
          <t/>
        </is>
      </c>
      <c r="K84" t="inlineStr">
        <is>
          <t/>
        </is>
      </c>
      <c r="L84" t="inlineStr">
        <is>
          <t/>
        </is>
      </c>
      <c r="M84" t="inlineStr">
        <is>
          <t/>
        </is>
      </c>
      <c r="N84" t="inlineStr">
        <is>
          <t/>
        </is>
      </c>
      <c r="O84" t="inlineStr">
        <is>
          <t/>
        </is>
      </c>
      <c r="P84">
        <f>IF(F84="","",IF(G84=XLOOKUP(F84,'Task Scoring Key'!$A:$A,'Task Scoring Key'!$C:$C,""),2,IF(G84=XLOOKUP(F84,'Task Scoring Key'!$A:$A,'Task Scoring Key'!$D:$D,""),1,0)))</f>
      </c>
      <c r="Q84">
        <f>IF(F84="","",IF(H84=XLOOKUP(F84,'Task Scoring Key'!$A:$A,'Task Scoring Key'!$E:$E,""),1,0))</f>
      </c>
      <c r="R84">
        <f>IF(COUNTA(K84:M84)=0,"",AVERAGE(K84:M84))</f>
      </c>
    </row>
    <row r="85">
      <c r="A85" t="inlineStr">
        <is>
          <t/>
        </is>
      </c>
      <c r="B85" t="inlineStr">
        <is>
          <t/>
        </is>
      </c>
      <c r="C85" t="inlineStr">
        <is>
          <t/>
        </is>
      </c>
      <c r="D85" t="inlineStr">
        <is>
          <t/>
        </is>
      </c>
      <c r="E85" t="inlineStr">
        <is>
          <t/>
        </is>
      </c>
      <c r="F85" t="inlineStr">
        <is>
          <t/>
        </is>
      </c>
      <c r="G85" t="inlineStr">
        <is>
          <t/>
        </is>
      </c>
      <c r="H85" t="inlineStr">
        <is>
          <t/>
        </is>
      </c>
      <c r="I85" t="inlineStr">
        <is>
          <t/>
        </is>
      </c>
      <c r="J85" t="inlineStr">
        <is>
          <t/>
        </is>
      </c>
      <c r="K85" t="inlineStr">
        <is>
          <t/>
        </is>
      </c>
      <c r="L85" t="inlineStr">
        <is>
          <t/>
        </is>
      </c>
      <c r="M85" t="inlineStr">
        <is>
          <t/>
        </is>
      </c>
      <c r="N85" t="inlineStr">
        <is>
          <t/>
        </is>
      </c>
      <c r="O85" t="inlineStr">
        <is>
          <t/>
        </is>
      </c>
      <c r="P85">
        <f>IF(F85="","",IF(G85=XLOOKUP(F85,'Task Scoring Key'!$A:$A,'Task Scoring Key'!$C:$C,""),2,IF(G85=XLOOKUP(F85,'Task Scoring Key'!$A:$A,'Task Scoring Key'!$D:$D,""),1,0)))</f>
      </c>
      <c r="Q85">
        <f>IF(F85="","",IF(H85=XLOOKUP(F85,'Task Scoring Key'!$A:$A,'Task Scoring Key'!$E:$E,""),1,0))</f>
      </c>
      <c r="R85">
        <f>IF(COUNTA(K85:M85)=0,"",AVERAGE(K85:M85))</f>
      </c>
    </row>
    <row r="86">
      <c r="A86" t="inlineStr">
        <is>
          <t/>
        </is>
      </c>
      <c r="B86" t="inlineStr">
        <is>
          <t/>
        </is>
      </c>
      <c r="C86" t="inlineStr">
        <is>
          <t/>
        </is>
      </c>
      <c r="D86" t="inlineStr">
        <is>
          <t/>
        </is>
      </c>
      <c r="E86" t="inlineStr">
        <is>
          <t/>
        </is>
      </c>
      <c r="F86" t="inlineStr">
        <is>
          <t/>
        </is>
      </c>
      <c r="G86" t="inlineStr">
        <is>
          <t/>
        </is>
      </c>
      <c r="H86" t="inlineStr">
        <is>
          <t/>
        </is>
      </c>
      <c r="I86" t="inlineStr">
        <is>
          <t/>
        </is>
      </c>
      <c r="J86" t="inlineStr">
        <is>
          <t/>
        </is>
      </c>
      <c r="K86" t="inlineStr">
        <is>
          <t/>
        </is>
      </c>
      <c r="L86" t="inlineStr">
        <is>
          <t/>
        </is>
      </c>
      <c r="M86" t="inlineStr">
        <is>
          <t/>
        </is>
      </c>
      <c r="N86" t="inlineStr">
        <is>
          <t/>
        </is>
      </c>
      <c r="O86" t="inlineStr">
        <is>
          <t/>
        </is>
      </c>
      <c r="P86">
        <f>IF(F86="","",IF(G86=XLOOKUP(F86,'Task Scoring Key'!$A:$A,'Task Scoring Key'!$C:$C,""),2,IF(G86=XLOOKUP(F86,'Task Scoring Key'!$A:$A,'Task Scoring Key'!$D:$D,""),1,0)))</f>
      </c>
      <c r="Q86">
        <f>IF(F86="","",IF(H86=XLOOKUP(F86,'Task Scoring Key'!$A:$A,'Task Scoring Key'!$E:$E,""),1,0))</f>
      </c>
      <c r="R86">
        <f>IF(COUNTA(K86:M86)=0,"",AVERAGE(K86:M86))</f>
      </c>
    </row>
    <row r="87">
      <c r="A87" t="inlineStr">
        <is>
          <t/>
        </is>
      </c>
      <c r="B87" t="inlineStr">
        <is>
          <t/>
        </is>
      </c>
      <c r="C87" t="inlineStr">
        <is>
          <t/>
        </is>
      </c>
      <c r="D87" t="inlineStr">
        <is>
          <t/>
        </is>
      </c>
      <c r="E87" t="inlineStr">
        <is>
          <t/>
        </is>
      </c>
      <c r="F87" t="inlineStr">
        <is>
          <t/>
        </is>
      </c>
      <c r="G87" t="inlineStr">
        <is>
          <t/>
        </is>
      </c>
      <c r="H87" t="inlineStr">
        <is>
          <t/>
        </is>
      </c>
      <c r="I87" t="inlineStr">
        <is>
          <t/>
        </is>
      </c>
      <c r="J87" t="inlineStr">
        <is>
          <t/>
        </is>
      </c>
      <c r="K87" t="inlineStr">
        <is>
          <t/>
        </is>
      </c>
      <c r="L87" t="inlineStr">
        <is>
          <t/>
        </is>
      </c>
      <c r="M87" t="inlineStr">
        <is>
          <t/>
        </is>
      </c>
      <c r="N87" t="inlineStr">
        <is>
          <t/>
        </is>
      </c>
      <c r="O87" t="inlineStr">
        <is>
          <t/>
        </is>
      </c>
      <c r="P87">
        <f>IF(F87="","",IF(G87=XLOOKUP(F87,'Task Scoring Key'!$A:$A,'Task Scoring Key'!$C:$C,""),2,IF(G87=XLOOKUP(F87,'Task Scoring Key'!$A:$A,'Task Scoring Key'!$D:$D,""),1,0)))</f>
      </c>
      <c r="Q87">
        <f>IF(F87="","",IF(H87=XLOOKUP(F87,'Task Scoring Key'!$A:$A,'Task Scoring Key'!$E:$E,""),1,0))</f>
      </c>
      <c r="R87">
        <f>IF(COUNTA(K87:M87)=0,"",AVERAGE(K87:M87))</f>
      </c>
    </row>
    <row r="88">
      <c r="A88" t="inlineStr">
        <is>
          <t/>
        </is>
      </c>
      <c r="B88" t="inlineStr">
        <is>
          <t/>
        </is>
      </c>
      <c r="C88" t="inlineStr">
        <is>
          <t/>
        </is>
      </c>
      <c r="D88" t="inlineStr">
        <is>
          <t/>
        </is>
      </c>
      <c r="E88" t="inlineStr">
        <is>
          <t/>
        </is>
      </c>
      <c r="F88" t="inlineStr">
        <is>
          <t/>
        </is>
      </c>
      <c r="G88" t="inlineStr">
        <is>
          <t/>
        </is>
      </c>
      <c r="H88" t="inlineStr">
        <is>
          <t/>
        </is>
      </c>
      <c r="I88" t="inlineStr">
        <is>
          <t/>
        </is>
      </c>
      <c r="J88" t="inlineStr">
        <is>
          <t/>
        </is>
      </c>
      <c r="K88" t="inlineStr">
        <is>
          <t/>
        </is>
      </c>
      <c r="L88" t="inlineStr">
        <is>
          <t/>
        </is>
      </c>
      <c r="M88" t="inlineStr">
        <is>
          <t/>
        </is>
      </c>
      <c r="N88" t="inlineStr">
        <is>
          <t/>
        </is>
      </c>
      <c r="O88" t="inlineStr">
        <is>
          <t/>
        </is>
      </c>
      <c r="P88">
        <f>IF(F88="","",IF(G88=XLOOKUP(F88,'Task Scoring Key'!$A:$A,'Task Scoring Key'!$C:$C,""),2,IF(G88=XLOOKUP(F88,'Task Scoring Key'!$A:$A,'Task Scoring Key'!$D:$D,""),1,0)))</f>
      </c>
      <c r="Q88">
        <f>IF(F88="","",IF(H88=XLOOKUP(F88,'Task Scoring Key'!$A:$A,'Task Scoring Key'!$E:$E,""),1,0))</f>
      </c>
      <c r="R88">
        <f>IF(COUNTA(K88:M88)=0,"",AVERAGE(K88:M88))</f>
      </c>
    </row>
    <row r="89">
      <c r="A89" t="inlineStr">
        <is>
          <t/>
        </is>
      </c>
      <c r="B89" t="inlineStr">
        <is>
          <t/>
        </is>
      </c>
      <c r="C89" t="inlineStr">
        <is>
          <t/>
        </is>
      </c>
      <c r="D89" t="inlineStr">
        <is>
          <t/>
        </is>
      </c>
      <c r="E89" t="inlineStr">
        <is>
          <t/>
        </is>
      </c>
      <c r="F89" t="inlineStr">
        <is>
          <t/>
        </is>
      </c>
      <c r="G89" t="inlineStr">
        <is>
          <t/>
        </is>
      </c>
      <c r="H89" t="inlineStr">
        <is>
          <t/>
        </is>
      </c>
      <c r="I89" t="inlineStr">
        <is>
          <t/>
        </is>
      </c>
      <c r="J89" t="inlineStr">
        <is>
          <t/>
        </is>
      </c>
      <c r="K89" t="inlineStr">
        <is>
          <t/>
        </is>
      </c>
      <c r="L89" t="inlineStr">
        <is>
          <t/>
        </is>
      </c>
      <c r="M89" t="inlineStr">
        <is>
          <t/>
        </is>
      </c>
      <c r="N89" t="inlineStr">
        <is>
          <t/>
        </is>
      </c>
      <c r="O89" t="inlineStr">
        <is>
          <t/>
        </is>
      </c>
      <c r="P89">
        <f>IF(F89="","",IF(G89=XLOOKUP(F89,'Task Scoring Key'!$A:$A,'Task Scoring Key'!$C:$C,""),2,IF(G89=XLOOKUP(F89,'Task Scoring Key'!$A:$A,'Task Scoring Key'!$D:$D,""),1,0)))</f>
      </c>
      <c r="Q89">
        <f>IF(F89="","",IF(H89=XLOOKUP(F89,'Task Scoring Key'!$A:$A,'Task Scoring Key'!$E:$E,""),1,0))</f>
      </c>
      <c r="R89">
        <f>IF(COUNTA(K89:M89)=0,"",AVERAGE(K89:M89))</f>
      </c>
    </row>
    <row r="90">
      <c r="A90" t="inlineStr">
        <is>
          <t/>
        </is>
      </c>
      <c r="B90" t="inlineStr">
        <is>
          <t/>
        </is>
      </c>
      <c r="C90" t="inlineStr">
        <is>
          <t/>
        </is>
      </c>
      <c r="D90" t="inlineStr">
        <is>
          <t/>
        </is>
      </c>
      <c r="E90" t="inlineStr">
        <is>
          <t/>
        </is>
      </c>
      <c r="F90" t="inlineStr">
        <is>
          <t/>
        </is>
      </c>
      <c r="G90" t="inlineStr">
        <is>
          <t/>
        </is>
      </c>
      <c r="H90" t="inlineStr">
        <is>
          <t/>
        </is>
      </c>
      <c r="I90" t="inlineStr">
        <is>
          <t/>
        </is>
      </c>
      <c r="J90" t="inlineStr">
        <is>
          <t/>
        </is>
      </c>
      <c r="K90" t="inlineStr">
        <is>
          <t/>
        </is>
      </c>
      <c r="L90" t="inlineStr">
        <is>
          <t/>
        </is>
      </c>
      <c r="M90" t="inlineStr">
        <is>
          <t/>
        </is>
      </c>
      <c r="N90" t="inlineStr">
        <is>
          <t/>
        </is>
      </c>
      <c r="O90" t="inlineStr">
        <is>
          <t/>
        </is>
      </c>
      <c r="P90">
        <f>IF(F90="","",IF(G90=XLOOKUP(F90,'Task Scoring Key'!$A:$A,'Task Scoring Key'!$C:$C,""),2,IF(G90=XLOOKUP(F90,'Task Scoring Key'!$A:$A,'Task Scoring Key'!$D:$D,""),1,0)))</f>
      </c>
      <c r="Q90">
        <f>IF(F90="","",IF(H90=XLOOKUP(F90,'Task Scoring Key'!$A:$A,'Task Scoring Key'!$E:$E,""),1,0))</f>
      </c>
      <c r="R90">
        <f>IF(COUNTA(K90:M90)=0,"",AVERAGE(K90:M90))</f>
      </c>
    </row>
    <row r="91">
      <c r="A91" t="inlineStr">
        <is>
          <t/>
        </is>
      </c>
      <c r="B91" t="inlineStr">
        <is>
          <t/>
        </is>
      </c>
      <c r="C91" t="inlineStr">
        <is>
          <t/>
        </is>
      </c>
      <c r="D91" t="inlineStr">
        <is>
          <t/>
        </is>
      </c>
      <c r="E91" t="inlineStr">
        <is>
          <t/>
        </is>
      </c>
      <c r="F91" t="inlineStr">
        <is>
          <t/>
        </is>
      </c>
      <c r="G91" t="inlineStr">
        <is>
          <t/>
        </is>
      </c>
      <c r="H91" t="inlineStr">
        <is>
          <t/>
        </is>
      </c>
      <c r="I91" t="inlineStr">
        <is>
          <t/>
        </is>
      </c>
      <c r="J91" t="inlineStr">
        <is>
          <t/>
        </is>
      </c>
      <c r="K91" t="inlineStr">
        <is>
          <t/>
        </is>
      </c>
      <c r="L91" t="inlineStr">
        <is>
          <t/>
        </is>
      </c>
      <c r="M91" t="inlineStr">
        <is>
          <t/>
        </is>
      </c>
      <c r="N91" t="inlineStr">
        <is>
          <t/>
        </is>
      </c>
      <c r="O91" t="inlineStr">
        <is>
          <t/>
        </is>
      </c>
      <c r="P91">
        <f>IF(F91="","",IF(G91=XLOOKUP(F91,'Task Scoring Key'!$A:$A,'Task Scoring Key'!$C:$C,""),2,IF(G91=XLOOKUP(F91,'Task Scoring Key'!$A:$A,'Task Scoring Key'!$D:$D,""),1,0)))</f>
      </c>
      <c r="Q91">
        <f>IF(F91="","",IF(H91=XLOOKUP(F91,'Task Scoring Key'!$A:$A,'Task Scoring Key'!$E:$E,""),1,0))</f>
      </c>
      <c r="R91">
        <f>IF(COUNTA(K91:M91)=0,"",AVERAGE(K91:M91))</f>
      </c>
    </row>
    <row r="92">
      <c r="A92" t="inlineStr">
        <is>
          <t/>
        </is>
      </c>
      <c r="B92" t="inlineStr">
        <is>
          <t/>
        </is>
      </c>
      <c r="C92" t="inlineStr">
        <is>
          <t/>
        </is>
      </c>
      <c r="D92" t="inlineStr">
        <is>
          <t/>
        </is>
      </c>
      <c r="E92" t="inlineStr">
        <is>
          <t/>
        </is>
      </c>
      <c r="F92" t="inlineStr">
        <is>
          <t/>
        </is>
      </c>
      <c r="G92" t="inlineStr">
        <is>
          <t/>
        </is>
      </c>
      <c r="H92" t="inlineStr">
        <is>
          <t/>
        </is>
      </c>
      <c r="I92" t="inlineStr">
        <is>
          <t/>
        </is>
      </c>
      <c r="J92" t="inlineStr">
        <is>
          <t/>
        </is>
      </c>
      <c r="K92" t="inlineStr">
        <is>
          <t/>
        </is>
      </c>
      <c r="L92" t="inlineStr">
        <is>
          <t/>
        </is>
      </c>
      <c r="M92" t="inlineStr">
        <is>
          <t/>
        </is>
      </c>
      <c r="N92" t="inlineStr">
        <is>
          <t/>
        </is>
      </c>
      <c r="O92" t="inlineStr">
        <is>
          <t/>
        </is>
      </c>
      <c r="P92">
        <f>IF(F92="","",IF(G92=XLOOKUP(F92,'Task Scoring Key'!$A:$A,'Task Scoring Key'!$C:$C,""),2,IF(G92=XLOOKUP(F92,'Task Scoring Key'!$A:$A,'Task Scoring Key'!$D:$D,""),1,0)))</f>
      </c>
      <c r="Q92">
        <f>IF(F92="","",IF(H92=XLOOKUP(F92,'Task Scoring Key'!$A:$A,'Task Scoring Key'!$E:$E,""),1,0))</f>
      </c>
      <c r="R92">
        <f>IF(COUNTA(K92:M92)=0,"",AVERAGE(K92:M92))</f>
      </c>
    </row>
    <row r="93">
      <c r="A93" t="inlineStr">
        <is>
          <t/>
        </is>
      </c>
      <c r="B93" t="inlineStr">
        <is>
          <t/>
        </is>
      </c>
      <c r="C93" t="inlineStr">
        <is>
          <t/>
        </is>
      </c>
      <c r="D93" t="inlineStr">
        <is>
          <t/>
        </is>
      </c>
      <c r="E93" t="inlineStr">
        <is>
          <t/>
        </is>
      </c>
      <c r="F93" t="inlineStr">
        <is>
          <t/>
        </is>
      </c>
      <c r="G93" t="inlineStr">
        <is>
          <t/>
        </is>
      </c>
      <c r="H93" t="inlineStr">
        <is>
          <t/>
        </is>
      </c>
      <c r="I93" t="inlineStr">
        <is>
          <t/>
        </is>
      </c>
      <c r="J93" t="inlineStr">
        <is>
          <t/>
        </is>
      </c>
      <c r="K93" t="inlineStr">
        <is>
          <t/>
        </is>
      </c>
      <c r="L93" t="inlineStr">
        <is>
          <t/>
        </is>
      </c>
      <c r="M93" t="inlineStr">
        <is>
          <t/>
        </is>
      </c>
      <c r="N93" t="inlineStr">
        <is>
          <t/>
        </is>
      </c>
      <c r="O93" t="inlineStr">
        <is>
          <t/>
        </is>
      </c>
      <c r="P93">
        <f>IF(F93="","",IF(G93=XLOOKUP(F93,'Task Scoring Key'!$A:$A,'Task Scoring Key'!$C:$C,""),2,IF(G93=XLOOKUP(F93,'Task Scoring Key'!$A:$A,'Task Scoring Key'!$D:$D,""),1,0)))</f>
      </c>
      <c r="Q93">
        <f>IF(F93="","",IF(H93=XLOOKUP(F93,'Task Scoring Key'!$A:$A,'Task Scoring Key'!$E:$E,""),1,0))</f>
      </c>
      <c r="R93">
        <f>IF(COUNTA(K93:M93)=0,"",AVERAGE(K93:M93))</f>
      </c>
    </row>
    <row r="94">
      <c r="A94" t="inlineStr">
        <is>
          <t/>
        </is>
      </c>
      <c r="B94" t="inlineStr">
        <is>
          <t/>
        </is>
      </c>
      <c r="C94" t="inlineStr">
        <is>
          <t/>
        </is>
      </c>
      <c r="D94" t="inlineStr">
        <is>
          <t/>
        </is>
      </c>
      <c r="E94" t="inlineStr">
        <is>
          <t/>
        </is>
      </c>
      <c r="F94" t="inlineStr">
        <is>
          <t/>
        </is>
      </c>
      <c r="G94" t="inlineStr">
        <is>
          <t/>
        </is>
      </c>
      <c r="H94" t="inlineStr">
        <is>
          <t/>
        </is>
      </c>
      <c r="I94" t="inlineStr">
        <is>
          <t/>
        </is>
      </c>
      <c r="J94" t="inlineStr">
        <is>
          <t/>
        </is>
      </c>
      <c r="K94" t="inlineStr">
        <is>
          <t/>
        </is>
      </c>
      <c r="L94" t="inlineStr">
        <is>
          <t/>
        </is>
      </c>
      <c r="M94" t="inlineStr">
        <is>
          <t/>
        </is>
      </c>
      <c r="N94" t="inlineStr">
        <is>
          <t/>
        </is>
      </c>
      <c r="O94" t="inlineStr">
        <is>
          <t/>
        </is>
      </c>
      <c r="P94">
        <f>IF(F94="","",IF(G94=XLOOKUP(F94,'Task Scoring Key'!$A:$A,'Task Scoring Key'!$C:$C,""),2,IF(G94=XLOOKUP(F94,'Task Scoring Key'!$A:$A,'Task Scoring Key'!$D:$D,""),1,0)))</f>
      </c>
      <c r="Q94">
        <f>IF(F94="","",IF(H94=XLOOKUP(F94,'Task Scoring Key'!$A:$A,'Task Scoring Key'!$E:$E,""),1,0))</f>
      </c>
      <c r="R94">
        <f>IF(COUNTA(K94:M94)=0,"",AVERAGE(K94:M94))</f>
      </c>
    </row>
    <row r="95">
      <c r="A95" t="inlineStr">
        <is>
          <t/>
        </is>
      </c>
      <c r="B95" t="inlineStr">
        <is>
          <t/>
        </is>
      </c>
      <c r="C95" t="inlineStr">
        <is>
          <t/>
        </is>
      </c>
      <c r="D95" t="inlineStr">
        <is>
          <t/>
        </is>
      </c>
      <c r="E95" t="inlineStr">
        <is>
          <t/>
        </is>
      </c>
      <c r="F95" t="inlineStr">
        <is>
          <t/>
        </is>
      </c>
      <c r="G95" t="inlineStr">
        <is>
          <t/>
        </is>
      </c>
      <c r="H95" t="inlineStr">
        <is>
          <t/>
        </is>
      </c>
      <c r="I95" t="inlineStr">
        <is>
          <t/>
        </is>
      </c>
      <c r="J95" t="inlineStr">
        <is>
          <t/>
        </is>
      </c>
      <c r="K95" t="inlineStr">
        <is>
          <t/>
        </is>
      </c>
      <c r="L95" t="inlineStr">
        <is>
          <t/>
        </is>
      </c>
      <c r="M95" t="inlineStr">
        <is>
          <t/>
        </is>
      </c>
      <c r="N95" t="inlineStr">
        <is>
          <t/>
        </is>
      </c>
      <c r="O95" t="inlineStr">
        <is>
          <t/>
        </is>
      </c>
      <c r="P95">
        <f>IF(F95="","",IF(G95=XLOOKUP(F95,'Task Scoring Key'!$A:$A,'Task Scoring Key'!$C:$C,""),2,IF(G95=XLOOKUP(F95,'Task Scoring Key'!$A:$A,'Task Scoring Key'!$D:$D,""),1,0)))</f>
      </c>
      <c r="Q95">
        <f>IF(F95="","",IF(H95=XLOOKUP(F95,'Task Scoring Key'!$A:$A,'Task Scoring Key'!$E:$E,""),1,0))</f>
      </c>
      <c r="R95">
        <f>IF(COUNTA(K95:M95)=0,"",AVERAGE(K95:M95))</f>
      </c>
    </row>
    <row r="96">
      <c r="A96" t="inlineStr">
        <is>
          <t/>
        </is>
      </c>
      <c r="B96" t="inlineStr">
        <is>
          <t/>
        </is>
      </c>
      <c r="C96" t="inlineStr">
        <is>
          <t/>
        </is>
      </c>
      <c r="D96" t="inlineStr">
        <is>
          <t/>
        </is>
      </c>
      <c r="E96" t="inlineStr">
        <is>
          <t/>
        </is>
      </c>
      <c r="F96" t="inlineStr">
        <is>
          <t/>
        </is>
      </c>
      <c r="G96" t="inlineStr">
        <is>
          <t/>
        </is>
      </c>
      <c r="H96" t="inlineStr">
        <is>
          <t/>
        </is>
      </c>
      <c r="I96" t="inlineStr">
        <is>
          <t/>
        </is>
      </c>
      <c r="J96" t="inlineStr">
        <is>
          <t/>
        </is>
      </c>
      <c r="K96" t="inlineStr">
        <is>
          <t/>
        </is>
      </c>
      <c r="L96" t="inlineStr">
        <is>
          <t/>
        </is>
      </c>
      <c r="M96" t="inlineStr">
        <is>
          <t/>
        </is>
      </c>
      <c r="N96" t="inlineStr">
        <is>
          <t/>
        </is>
      </c>
      <c r="O96" t="inlineStr">
        <is>
          <t/>
        </is>
      </c>
      <c r="P96">
        <f>IF(F96="","",IF(G96=XLOOKUP(F96,'Task Scoring Key'!$A:$A,'Task Scoring Key'!$C:$C,""),2,IF(G96=XLOOKUP(F96,'Task Scoring Key'!$A:$A,'Task Scoring Key'!$D:$D,""),1,0)))</f>
      </c>
      <c r="Q96">
        <f>IF(F96="","",IF(H96=XLOOKUP(F96,'Task Scoring Key'!$A:$A,'Task Scoring Key'!$E:$E,""),1,0))</f>
      </c>
      <c r="R96">
        <f>IF(COUNTA(K96:M96)=0,"",AVERAGE(K96:M96))</f>
      </c>
    </row>
    <row r="97">
      <c r="A97" t="inlineStr">
        <is>
          <t/>
        </is>
      </c>
      <c r="B97" t="inlineStr">
        <is>
          <t/>
        </is>
      </c>
      <c r="C97" t="inlineStr">
        <is>
          <t/>
        </is>
      </c>
      <c r="D97" t="inlineStr">
        <is>
          <t/>
        </is>
      </c>
      <c r="E97" t="inlineStr">
        <is>
          <t/>
        </is>
      </c>
      <c r="F97" t="inlineStr">
        <is>
          <t/>
        </is>
      </c>
      <c r="G97" t="inlineStr">
        <is>
          <t/>
        </is>
      </c>
      <c r="H97" t="inlineStr">
        <is>
          <t/>
        </is>
      </c>
      <c r="I97" t="inlineStr">
        <is>
          <t/>
        </is>
      </c>
      <c r="J97" t="inlineStr">
        <is>
          <t/>
        </is>
      </c>
      <c r="K97" t="inlineStr">
        <is>
          <t/>
        </is>
      </c>
      <c r="L97" t="inlineStr">
        <is>
          <t/>
        </is>
      </c>
      <c r="M97" t="inlineStr">
        <is>
          <t/>
        </is>
      </c>
      <c r="N97" t="inlineStr">
        <is>
          <t/>
        </is>
      </c>
      <c r="O97" t="inlineStr">
        <is>
          <t/>
        </is>
      </c>
      <c r="P97">
        <f>IF(F97="","",IF(G97=XLOOKUP(F97,'Task Scoring Key'!$A:$A,'Task Scoring Key'!$C:$C,""),2,IF(G97=XLOOKUP(F97,'Task Scoring Key'!$A:$A,'Task Scoring Key'!$D:$D,""),1,0)))</f>
      </c>
      <c r="Q97">
        <f>IF(F97="","",IF(H97=XLOOKUP(F97,'Task Scoring Key'!$A:$A,'Task Scoring Key'!$E:$E,""),1,0))</f>
      </c>
      <c r="R97">
        <f>IF(COUNTA(K97:M97)=0,"",AVERAGE(K97:M97))</f>
      </c>
    </row>
    <row r="98">
      <c r="A98" t="inlineStr">
        <is>
          <t/>
        </is>
      </c>
      <c r="B98" t="inlineStr">
        <is>
          <t/>
        </is>
      </c>
      <c r="C98" t="inlineStr">
        <is>
          <t/>
        </is>
      </c>
      <c r="D98" t="inlineStr">
        <is>
          <t/>
        </is>
      </c>
      <c r="E98" t="inlineStr">
        <is>
          <t/>
        </is>
      </c>
      <c r="F98" t="inlineStr">
        <is>
          <t/>
        </is>
      </c>
      <c r="G98" t="inlineStr">
        <is>
          <t/>
        </is>
      </c>
      <c r="H98" t="inlineStr">
        <is>
          <t/>
        </is>
      </c>
      <c r="I98" t="inlineStr">
        <is>
          <t/>
        </is>
      </c>
      <c r="J98" t="inlineStr">
        <is>
          <t/>
        </is>
      </c>
      <c r="K98" t="inlineStr">
        <is>
          <t/>
        </is>
      </c>
      <c r="L98" t="inlineStr">
        <is>
          <t/>
        </is>
      </c>
      <c r="M98" t="inlineStr">
        <is>
          <t/>
        </is>
      </c>
      <c r="N98" t="inlineStr">
        <is>
          <t/>
        </is>
      </c>
      <c r="O98" t="inlineStr">
        <is>
          <t/>
        </is>
      </c>
      <c r="P98">
        <f>IF(F98="","",IF(G98=XLOOKUP(F98,'Task Scoring Key'!$A:$A,'Task Scoring Key'!$C:$C,""),2,IF(G98=XLOOKUP(F98,'Task Scoring Key'!$A:$A,'Task Scoring Key'!$D:$D,""),1,0)))</f>
      </c>
      <c r="Q98">
        <f>IF(F98="","",IF(H98=XLOOKUP(F98,'Task Scoring Key'!$A:$A,'Task Scoring Key'!$E:$E,""),1,0))</f>
      </c>
      <c r="R98">
        <f>IF(COUNTA(K98:M98)=0,"",AVERAGE(K98:M98))</f>
      </c>
    </row>
    <row r="99">
      <c r="A99" t="inlineStr">
        <is>
          <t/>
        </is>
      </c>
      <c r="B99" t="inlineStr">
        <is>
          <t/>
        </is>
      </c>
      <c r="C99" t="inlineStr">
        <is>
          <t/>
        </is>
      </c>
      <c r="D99" t="inlineStr">
        <is>
          <t/>
        </is>
      </c>
      <c r="E99" t="inlineStr">
        <is>
          <t/>
        </is>
      </c>
      <c r="F99" t="inlineStr">
        <is>
          <t/>
        </is>
      </c>
      <c r="G99" t="inlineStr">
        <is>
          <t/>
        </is>
      </c>
      <c r="H99" t="inlineStr">
        <is>
          <t/>
        </is>
      </c>
      <c r="I99" t="inlineStr">
        <is>
          <t/>
        </is>
      </c>
      <c r="J99" t="inlineStr">
        <is>
          <t/>
        </is>
      </c>
      <c r="K99" t="inlineStr">
        <is>
          <t/>
        </is>
      </c>
      <c r="L99" t="inlineStr">
        <is>
          <t/>
        </is>
      </c>
      <c r="M99" t="inlineStr">
        <is>
          <t/>
        </is>
      </c>
      <c r="N99" t="inlineStr">
        <is>
          <t/>
        </is>
      </c>
      <c r="O99" t="inlineStr">
        <is>
          <t/>
        </is>
      </c>
      <c r="P99">
        <f>IF(F99="","",IF(G99=XLOOKUP(F99,'Task Scoring Key'!$A:$A,'Task Scoring Key'!$C:$C,""),2,IF(G99=XLOOKUP(F99,'Task Scoring Key'!$A:$A,'Task Scoring Key'!$D:$D,""),1,0)))</f>
      </c>
      <c r="Q99">
        <f>IF(F99="","",IF(H99=XLOOKUP(F99,'Task Scoring Key'!$A:$A,'Task Scoring Key'!$E:$E,""),1,0))</f>
      </c>
      <c r="R99">
        <f>IF(COUNTA(K99:M99)=0,"",AVERAGE(K99:M99))</f>
      </c>
    </row>
    <row r="100">
      <c r="A100" t="inlineStr">
        <is>
          <t/>
        </is>
      </c>
      <c r="B100" t="inlineStr">
        <is>
          <t/>
        </is>
      </c>
      <c r="C100" t="inlineStr">
        <is>
          <t/>
        </is>
      </c>
      <c r="D100" t="inlineStr">
        <is>
          <t/>
        </is>
      </c>
      <c r="E100" t="inlineStr">
        <is>
          <t/>
        </is>
      </c>
      <c r="F100" t="inlineStr">
        <is>
          <t/>
        </is>
      </c>
      <c r="G100" t="inlineStr">
        <is>
          <t/>
        </is>
      </c>
      <c r="H100" t="inlineStr">
        <is>
          <t/>
        </is>
      </c>
      <c r="I100" t="inlineStr">
        <is>
          <t/>
        </is>
      </c>
      <c r="J100" t="inlineStr">
        <is>
          <t/>
        </is>
      </c>
      <c r="K100" t="inlineStr">
        <is>
          <t/>
        </is>
      </c>
      <c r="L100" t="inlineStr">
        <is>
          <t/>
        </is>
      </c>
      <c r="M100" t="inlineStr">
        <is>
          <t/>
        </is>
      </c>
      <c r="N100" t="inlineStr">
        <is>
          <t/>
        </is>
      </c>
      <c r="O100" t="inlineStr">
        <is>
          <t/>
        </is>
      </c>
      <c r="P100">
        <f>IF(F100="","",IF(G100=XLOOKUP(F100,'Task Scoring Key'!$A:$A,'Task Scoring Key'!$C:$C,""),2,IF(G100=XLOOKUP(F100,'Task Scoring Key'!$A:$A,'Task Scoring Key'!$D:$D,""),1,0)))</f>
      </c>
      <c r="Q100">
        <f>IF(F100="","",IF(H100=XLOOKUP(F100,'Task Scoring Key'!$A:$A,'Task Scoring Key'!$E:$E,""),1,0))</f>
      </c>
      <c r="R100">
        <f>IF(COUNTA(K100:M100)=0,"",AVERAGE(K100:M100))</f>
      </c>
    </row>
    <row r="101">
      <c r="A101" t="inlineStr">
        <is>
          <t/>
        </is>
      </c>
      <c r="B101" t="inlineStr">
        <is>
          <t/>
        </is>
      </c>
      <c r="C101" t="inlineStr">
        <is>
          <t/>
        </is>
      </c>
      <c r="D101" t="inlineStr">
        <is>
          <t/>
        </is>
      </c>
      <c r="E101" t="inlineStr">
        <is>
          <t/>
        </is>
      </c>
      <c r="F101" t="inlineStr">
        <is>
          <t/>
        </is>
      </c>
      <c r="G101" t="inlineStr">
        <is>
          <t/>
        </is>
      </c>
      <c r="H101" t="inlineStr">
        <is>
          <t/>
        </is>
      </c>
      <c r="I101" t="inlineStr">
        <is>
          <t/>
        </is>
      </c>
      <c r="J101" t="inlineStr">
        <is>
          <t/>
        </is>
      </c>
      <c r="K101" t="inlineStr">
        <is>
          <t/>
        </is>
      </c>
      <c r="L101" t="inlineStr">
        <is>
          <t/>
        </is>
      </c>
      <c r="M101" t="inlineStr">
        <is>
          <t/>
        </is>
      </c>
      <c r="N101" t="inlineStr">
        <is>
          <t/>
        </is>
      </c>
      <c r="O101" t="inlineStr">
        <is>
          <t/>
        </is>
      </c>
      <c r="P101">
        <f>IF(F101="","",IF(G101=XLOOKUP(F101,'Task Scoring Key'!$A:$A,'Task Scoring Key'!$C:$C,""),2,IF(G101=XLOOKUP(F101,'Task Scoring Key'!$A:$A,'Task Scoring Key'!$D:$D,""),1,0)))</f>
      </c>
      <c r="Q101">
        <f>IF(F101="","",IF(H101=XLOOKUP(F101,'Task Scoring Key'!$A:$A,'Task Scoring Key'!$E:$E,""),1,0))</f>
      </c>
      <c r="R101">
        <f>IF(COUNTA(K101:M101)=0,"",AVERAGE(K101:M101))</f>
      </c>
    </row>
    <row r="102">
      <c r="A102" t="inlineStr">
        <is>
          <t/>
        </is>
      </c>
      <c r="B102" t="inlineStr">
        <is>
          <t/>
        </is>
      </c>
      <c r="C102" t="inlineStr">
        <is>
          <t/>
        </is>
      </c>
      <c r="D102" t="inlineStr">
        <is>
          <t/>
        </is>
      </c>
      <c r="E102" t="inlineStr">
        <is>
          <t/>
        </is>
      </c>
      <c r="F102" t="inlineStr">
        <is>
          <t/>
        </is>
      </c>
      <c r="G102" t="inlineStr">
        <is>
          <t/>
        </is>
      </c>
      <c r="H102" t="inlineStr">
        <is>
          <t/>
        </is>
      </c>
      <c r="I102" t="inlineStr">
        <is>
          <t/>
        </is>
      </c>
      <c r="J102" t="inlineStr">
        <is>
          <t/>
        </is>
      </c>
      <c r="K102" t="inlineStr">
        <is>
          <t/>
        </is>
      </c>
      <c r="L102" t="inlineStr">
        <is>
          <t/>
        </is>
      </c>
      <c r="M102" t="inlineStr">
        <is>
          <t/>
        </is>
      </c>
      <c r="N102" t="inlineStr">
        <is>
          <t/>
        </is>
      </c>
      <c r="O102" t="inlineStr">
        <is>
          <t/>
        </is>
      </c>
      <c r="P102">
        <f>IF(F102="","",IF(G102=XLOOKUP(F102,'Task Scoring Key'!$A:$A,'Task Scoring Key'!$C:$C,""),2,IF(G102=XLOOKUP(F102,'Task Scoring Key'!$A:$A,'Task Scoring Key'!$D:$D,""),1,0)))</f>
      </c>
      <c r="Q102">
        <f>IF(F102="","",IF(H102=XLOOKUP(F102,'Task Scoring Key'!$A:$A,'Task Scoring Key'!$E:$E,""),1,0))</f>
      </c>
      <c r="R102">
        <f>IF(COUNTA(K102:M102)=0,"",AVERAGE(K102:M102))</f>
      </c>
    </row>
    <row r="103">
      <c r="A103" t="inlineStr">
        <is>
          <t/>
        </is>
      </c>
      <c r="B103" t="inlineStr">
        <is>
          <t/>
        </is>
      </c>
      <c r="C103" t="inlineStr">
        <is>
          <t/>
        </is>
      </c>
      <c r="D103" t="inlineStr">
        <is>
          <t/>
        </is>
      </c>
      <c r="E103" t="inlineStr">
        <is>
          <t/>
        </is>
      </c>
      <c r="F103" t="inlineStr">
        <is>
          <t/>
        </is>
      </c>
      <c r="G103" t="inlineStr">
        <is>
          <t/>
        </is>
      </c>
      <c r="H103" t="inlineStr">
        <is>
          <t/>
        </is>
      </c>
      <c r="I103" t="inlineStr">
        <is>
          <t/>
        </is>
      </c>
      <c r="J103" t="inlineStr">
        <is>
          <t/>
        </is>
      </c>
      <c r="K103" t="inlineStr">
        <is>
          <t/>
        </is>
      </c>
      <c r="L103" t="inlineStr">
        <is>
          <t/>
        </is>
      </c>
      <c r="M103" t="inlineStr">
        <is>
          <t/>
        </is>
      </c>
      <c r="N103" t="inlineStr">
        <is>
          <t/>
        </is>
      </c>
      <c r="O103" t="inlineStr">
        <is>
          <t/>
        </is>
      </c>
      <c r="P103">
        <f>IF(F103="","",IF(G103=XLOOKUP(F103,'Task Scoring Key'!$A:$A,'Task Scoring Key'!$C:$C,""),2,IF(G103=XLOOKUP(F103,'Task Scoring Key'!$A:$A,'Task Scoring Key'!$D:$D,""),1,0)))</f>
      </c>
      <c r="Q103">
        <f>IF(F103="","",IF(H103=XLOOKUP(F103,'Task Scoring Key'!$A:$A,'Task Scoring Key'!$E:$E,""),1,0))</f>
      </c>
      <c r="R103">
        <f>IF(COUNTA(K103:M103)=0,"",AVERAGE(K103:M103))</f>
      </c>
    </row>
    <row r="104">
      <c r="A104" t="inlineStr">
        <is>
          <t/>
        </is>
      </c>
      <c r="B104" t="inlineStr">
        <is>
          <t/>
        </is>
      </c>
      <c r="C104" t="inlineStr">
        <is>
          <t/>
        </is>
      </c>
      <c r="D104" t="inlineStr">
        <is>
          <t/>
        </is>
      </c>
      <c r="E104" t="inlineStr">
        <is>
          <t/>
        </is>
      </c>
      <c r="F104" t="inlineStr">
        <is>
          <t/>
        </is>
      </c>
      <c r="G104" t="inlineStr">
        <is>
          <t/>
        </is>
      </c>
      <c r="H104" t="inlineStr">
        <is>
          <t/>
        </is>
      </c>
      <c r="I104" t="inlineStr">
        <is>
          <t/>
        </is>
      </c>
      <c r="J104" t="inlineStr">
        <is>
          <t/>
        </is>
      </c>
      <c r="K104" t="inlineStr">
        <is>
          <t/>
        </is>
      </c>
      <c r="L104" t="inlineStr">
        <is>
          <t/>
        </is>
      </c>
      <c r="M104" t="inlineStr">
        <is>
          <t/>
        </is>
      </c>
      <c r="N104" t="inlineStr">
        <is>
          <t/>
        </is>
      </c>
      <c r="O104" t="inlineStr">
        <is>
          <t/>
        </is>
      </c>
      <c r="P104">
        <f>IF(F104="","",IF(G104=XLOOKUP(F104,'Task Scoring Key'!$A:$A,'Task Scoring Key'!$C:$C,""),2,IF(G104=XLOOKUP(F104,'Task Scoring Key'!$A:$A,'Task Scoring Key'!$D:$D,""),1,0)))</f>
      </c>
      <c r="Q104">
        <f>IF(F104="","",IF(H104=XLOOKUP(F104,'Task Scoring Key'!$A:$A,'Task Scoring Key'!$E:$E,""),1,0))</f>
      </c>
      <c r="R104">
        <f>IF(COUNTA(K104:M104)=0,"",AVERAGE(K104:M104))</f>
      </c>
    </row>
    <row r="105">
      <c r="A105" t="inlineStr">
        <is>
          <t/>
        </is>
      </c>
      <c r="B105" t="inlineStr">
        <is>
          <t/>
        </is>
      </c>
      <c r="C105" t="inlineStr">
        <is>
          <t/>
        </is>
      </c>
      <c r="D105" t="inlineStr">
        <is>
          <t/>
        </is>
      </c>
      <c r="E105" t="inlineStr">
        <is>
          <t/>
        </is>
      </c>
      <c r="F105" t="inlineStr">
        <is>
          <t/>
        </is>
      </c>
      <c r="G105" t="inlineStr">
        <is>
          <t/>
        </is>
      </c>
      <c r="H105" t="inlineStr">
        <is>
          <t/>
        </is>
      </c>
      <c r="I105" t="inlineStr">
        <is>
          <t/>
        </is>
      </c>
      <c r="J105" t="inlineStr">
        <is>
          <t/>
        </is>
      </c>
      <c r="K105" t="inlineStr">
        <is>
          <t/>
        </is>
      </c>
      <c r="L105" t="inlineStr">
        <is>
          <t/>
        </is>
      </c>
      <c r="M105" t="inlineStr">
        <is>
          <t/>
        </is>
      </c>
      <c r="N105" t="inlineStr">
        <is>
          <t/>
        </is>
      </c>
      <c r="O105" t="inlineStr">
        <is>
          <t/>
        </is>
      </c>
      <c r="P105">
        <f>IF(F105="","",IF(G105=XLOOKUP(F105,'Task Scoring Key'!$A:$A,'Task Scoring Key'!$C:$C,""),2,IF(G105=XLOOKUP(F105,'Task Scoring Key'!$A:$A,'Task Scoring Key'!$D:$D,""),1,0)))</f>
      </c>
      <c r="Q105">
        <f>IF(F105="","",IF(H105=XLOOKUP(F105,'Task Scoring Key'!$A:$A,'Task Scoring Key'!$E:$E,""),1,0))</f>
      </c>
      <c r="R105">
        <f>IF(COUNTA(K105:M105)=0,"",AVERAGE(K105:M105))</f>
      </c>
    </row>
    <row r="106">
      <c r="A106" t="inlineStr">
        <is>
          <t/>
        </is>
      </c>
      <c r="B106" t="inlineStr">
        <is>
          <t/>
        </is>
      </c>
      <c r="C106" t="inlineStr">
        <is>
          <t/>
        </is>
      </c>
      <c r="D106" t="inlineStr">
        <is>
          <t/>
        </is>
      </c>
      <c r="E106" t="inlineStr">
        <is>
          <t/>
        </is>
      </c>
      <c r="F106" t="inlineStr">
        <is>
          <t/>
        </is>
      </c>
      <c r="G106" t="inlineStr">
        <is>
          <t/>
        </is>
      </c>
      <c r="H106" t="inlineStr">
        <is>
          <t/>
        </is>
      </c>
      <c r="I106" t="inlineStr">
        <is>
          <t/>
        </is>
      </c>
      <c r="J106" t="inlineStr">
        <is>
          <t/>
        </is>
      </c>
      <c r="K106" t="inlineStr">
        <is>
          <t/>
        </is>
      </c>
      <c r="L106" t="inlineStr">
        <is>
          <t/>
        </is>
      </c>
      <c r="M106" t="inlineStr">
        <is>
          <t/>
        </is>
      </c>
      <c r="N106" t="inlineStr">
        <is>
          <t/>
        </is>
      </c>
      <c r="O106" t="inlineStr">
        <is>
          <t/>
        </is>
      </c>
      <c r="P106">
        <f>IF(F106="","",IF(G106=XLOOKUP(F106,'Task Scoring Key'!$A:$A,'Task Scoring Key'!$C:$C,""),2,IF(G106=XLOOKUP(F106,'Task Scoring Key'!$A:$A,'Task Scoring Key'!$D:$D,""),1,0)))</f>
      </c>
      <c r="Q106">
        <f>IF(F106="","",IF(H106=XLOOKUP(F106,'Task Scoring Key'!$A:$A,'Task Scoring Key'!$E:$E,""),1,0))</f>
      </c>
      <c r="R106">
        <f>IF(COUNTA(K106:M106)=0,"",AVERAGE(K106:M106))</f>
      </c>
    </row>
    <row r="107">
      <c r="A107" t="inlineStr">
        <is>
          <t/>
        </is>
      </c>
      <c r="B107" t="inlineStr">
        <is>
          <t/>
        </is>
      </c>
      <c r="C107" t="inlineStr">
        <is>
          <t/>
        </is>
      </c>
      <c r="D107" t="inlineStr">
        <is>
          <t/>
        </is>
      </c>
      <c r="E107" t="inlineStr">
        <is>
          <t/>
        </is>
      </c>
      <c r="F107" t="inlineStr">
        <is>
          <t/>
        </is>
      </c>
      <c r="G107" t="inlineStr">
        <is>
          <t/>
        </is>
      </c>
      <c r="H107" t="inlineStr">
        <is>
          <t/>
        </is>
      </c>
      <c r="I107" t="inlineStr">
        <is>
          <t/>
        </is>
      </c>
      <c r="J107" t="inlineStr">
        <is>
          <t/>
        </is>
      </c>
      <c r="K107" t="inlineStr">
        <is>
          <t/>
        </is>
      </c>
      <c r="L107" t="inlineStr">
        <is>
          <t/>
        </is>
      </c>
      <c r="M107" t="inlineStr">
        <is>
          <t/>
        </is>
      </c>
      <c r="N107" t="inlineStr">
        <is>
          <t/>
        </is>
      </c>
      <c r="O107" t="inlineStr">
        <is>
          <t/>
        </is>
      </c>
      <c r="P107">
        <f>IF(F107="","",IF(G107=XLOOKUP(F107,'Task Scoring Key'!$A:$A,'Task Scoring Key'!$C:$C,""),2,IF(G107=XLOOKUP(F107,'Task Scoring Key'!$A:$A,'Task Scoring Key'!$D:$D,""),1,0)))</f>
      </c>
      <c r="Q107">
        <f>IF(F107="","",IF(H107=XLOOKUP(F107,'Task Scoring Key'!$A:$A,'Task Scoring Key'!$E:$E,""),1,0))</f>
      </c>
      <c r="R107">
        <f>IF(COUNTA(K107:M107)=0,"",AVERAGE(K107:M107))</f>
      </c>
    </row>
    <row r="108">
      <c r="A108" t="inlineStr">
        <is>
          <t/>
        </is>
      </c>
      <c r="B108" t="inlineStr">
        <is>
          <t/>
        </is>
      </c>
      <c r="C108" t="inlineStr">
        <is>
          <t/>
        </is>
      </c>
      <c r="D108" t="inlineStr">
        <is>
          <t/>
        </is>
      </c>
      <c r="E108" t="inlineStr">
        <is>
          <t/>
        </is>
      </c>
      <c r="F108" t="inlineStr">
        <is>
          <t/>
        </is>
      </c>
      <c r="G108" t="inlineStr">
        <is>
          <t/>
        </is>
      </c>
      <c r="H108" t="inlineStr">
        <is>
          <t/>
        </is>
      </c>
      <c r="I108" t="inlineStr">
        <is>
          <t/>
        </is>
      </c>
      <c r="J108" t="inlineStr">
        <is>
          <t/>
        </is>
      </c>
      <c r="K108" t="inlineStr">
        <is>
          <t/>
        </is>
      </c>
      <c r="L108" t="inlineStr">
        <is>
          <t/>
        </is>
      </c>
      <c r="M108" t="inlineStr">
        <is>
          <t/>
        </is>
      </c>
      <c r="N108" t="inlineStr">
        <is>
          <t/>
        </is>
      </c>
      <c r="O108" t="inlineStr">
        <is>
          <t/>
        </is>
      </c>
      <c r="P108">
        <f>IF(F108="","",IF(G108=XLOOKUP(F108,'Task Scoring Key'!$A:$A,'Task Scoring Key'!$C:$C,""),2,IF(G108=XLOOKUP(F108,'Task Scoring Key'!$A:$A,'Task Scoring Key'!$D:$D,""),1,0)))</f>
      </c>
      <c r="Q108">
        <f>IF(F108="","",IF(H108=XLOOKUP(F108,'Task Scoring Key'!$A:$A,'Task Scoring Key'!$E:$E,""),1,0))</f>
      </c>
      <c r="R108">
        <f>IF(COUNTA(K108:M108)=0,"",AVERAGE(K108:M108))</f>
      </c>
    </row>
    <row r="109">
      <c r="A109" t="inlineStr">
        <is>
          <t/>
        </is>
      </c>
      <c r="B109" t="inlineStr">
        <is>
          <t/>
        </is>
      </c>
      <c r="C109" t="inlineStr">
        <is>
          <t/>
        </is>
      </c>
      <c r="D109" t="inlineStr">
        <is>
          <t/>
        </is>
      </c>
      <c r="E109" t="inlineStr">
        <is>
          <t/>
        </is>
      </c>
      <c r="F109" t="inlineStr">
        <is>
          <t/>
        </is>
      </c>
      <c r="G109" t="inlineStr">
        <is>
          <t/>
        </is>
      </c>
      <c r="H109" t="inlineStr">
        <is>
          <t/>
        </is>
      </c>
      <c r="I109" t="inlineStr">
        <is>
          <t/>
        </is>
      </c>
      <c r="J109" t="inlineStr">
        <is>
          <t/>
        </is>
      </c>
      <c r="K109" t="inlineStr">
        <is>
          <t/>
        </is>
      </c>
      <c r="L109" t="inlineStr">
        <is>
          <t/>
        </is>
      </c>
      <c r="M109" t="inlineStr">
        <is>
          <t/>
        </is>
      </c>
      <c r="N109" t="inlineStr">
        <is>
          <t/>
        </is>
      </c>
      <c r="O109" t="inlineStr">
        <is>
          <t/>
        </is>
      </c>
      <c r="P109">
        <f>IF(F109="","",IF(G109=XLOOKUP(F109,'Task Scoring Key'!$A:$A,'Task Scoring Key'!$C:$C,""),2,IF(G109=XLOOKUP(F109,'Task Scoring Key'!$A:$A,'Task Scoring Key'!$D:$D,""),1,0)))</f>
      </c>
      <c r="Q109">
        <f>IF(F109="","",IF(H109=XLOOKUP(F109,'Task Scoring Key'!$A:$A,'Task Scoring Key'!$E:$E,""),1,0))</f>
      </c>
      <c r="R109">
        <f>IF(COUNTA(K109:M109)=0,"",AVERAGE(K109:M109))</f>
      </c>
    </row>
    <row r="110">
      <c r="A110" t="inlineStr">
        <is>
          <t/>
        </is>
      </c>
      <c r="B110" t="inlineStr">
        <is>
          <t/>
        </is>
      </c>
      <c r="C110" t="inlineStr">
        <is>
          <t/>
        </is>
      </c>
      <c r="D110" t="inlineStr">
        <is>
          <t/>
        </is>
      </c>
      <c r="E110" t="inlineStr">
        <is>
          <t/>
        </is>
      </c>
      <c r="F110" t="inlineStr">
        <is>
          <t/>
        </is>
      </c>
      <c r="G110" t="inlineStr">
        <is>
          <t/>
        </is>
      </c>
      <c r="H110" t="inlineStr">
        <is>
          <t/>
        </is>
      </c>
      <c r="I110" t="inlineStr">
        <is>
          <t/>
        </is>
      </c>
      <c r="J110" t="inlineStr">
        <is>
          <t/>
        </is>
      </c>
      <c r="K110" t="inlineStr">
        <is>
          <t/>
        </is>
      </c>
      <c r="L110" t="inlineStr">
        <is>
          <t/>
        </is>
      </c>
      <c r="M110" t="inlineStr">
        <is>
          <t/>
        </is>
      </c>
      <c r="N110" t="inlineStr">
        <is>
          <t/>
        </is>
      </c>
      <c r="O110" t="inlineStr">
        <is>
          <t/>
        </is>
      </c>
      <c r="P110">
        <f>IF(F110="","",IF(G110=XLOOKUP(F110,'Task Scoring Key'!$A:$A,'Task Scoring Key'!$C:$C,""),2,IF(G110=XLOOKUP(F110,'Task Scoring Key'!$A:$A,'Task Scoring Key'!$D:$D,""),1,0)))</f>
      </c>
      <c r="Q110">
        <f>IF(F110="","",IF(H110=XLOOKUP(F110,'Task Scoring Key'!$A:$A,'Task Scoring Key'!$E:$E,""),1,0))</f>
      </c>
      <c r="R110">
        <f>IF(COUNTA(K110:M110)=0,"",AVERAGE(K110:M110))</f>
      </c>
    </row>
    <row r="111">
      <c r="A111" t="inlineStr">
        <is>
          <t/>
        </is>
      </c>
      <c r="B111" t="inlineStr">
        <is>
          <t/>
        </is>
      </c>
      <c r="C111" t="inlineStr">
        <is>
          <t/>
        </is>
      </c>
      <c r="D111" t="inlineStr">
        <is>
          <t/>
        </is>
      </c>
      <c r="E111" t="inlineStr">
        <is>
          <t/>
        </is>
      </c>
      <c r="F111" t="inlineStr">
        <is>
          <t/>
        </is>
      </c>
      <c r="G111" t="inlineStr">
        <is>
          <t/>
        </is>
      </c>
      <c r="H111" t="inlineStr">
        <is>
          <t/>
        </is>
      </c>
      <c r="I111" t="inlineStr">
        <is>
          <t/>
        </is>
      </c>
      <c r="J111" t="inlineStr">
        <is>
          <t/>
        </is>
      </c>
      <c r="K111" t="inlineStr">
        <is>
          <t/>
        </is>
      </c>
      <c r="L111" t="inlineStr">
        <is>
          <t/>
        </is>
      </c>
      <c r="M111" t="inlineStr">
        <is>
          <t/>
        </is>
      </c>
      <c r="N111" t="inlineStr">
        <is>
          <t/>
        </is>
      </c>
      <c r="O111" t="inlineStr">
        <is>
          <t/>
        </is>
      </c>
      <c r="P111">
        <f>IF(F111="","",IF(G111=XLOOKUP(F111,'Task Scoring Key'!$A:$A,'Task Scoring Key'!$C:$C,""),2,IF(G111=XLOOKUP(F111,'Task Scoring Key'!$A:$A,'Task Scoring Key'!$D:$D,""),1,0)))</f>
      </c>
      <c r="Q111">
        <f>IF(F111="","",IF(H111=XLOOKUP(F111,'Task Scoring Key'!$A:$A,'Task Scoring Key'!$E:$E,""),1,0))</f>
      </c>
      <c r="R111">
        <f>IF(COUNTA(K111:M111)=0,"",AVERAGE(K111:M111))</f>
      </c>
    </row>
    <row r="112">
      <c r="A112" t="inlineStr">
        <is>
          <t/>
        </is>
      </c>
      <c r="B112" t="inlineStr">
        <is>
          <t/>
        </is>
      </c>
      <c r="C112" t="inlineStr">
        <is>
          <t/>
        </is>
      </c>
      <c r="D112" t="inlineStr">
        <is>
          <t/>
        </is>
      </c>
      <c r="E112" t="inlineStr">
        <is>
          <t/>
        </is>
      </c>
      <c r="F112" t="inlineStr">
        <is>
          <t/>
        </is>
      </c>
      <c r="G112" t="inlineStr">
        <is>
          <t/>
        </is>
      </c>
      <c r="H112" t="inlineStr">
        <is>
          <t/>
        </is>
      </c>
      <c r="I112" t="inlineStr">
        <is>
          <t/>
        </is>
      </c>
      <c r="J112" t="inlineStr">
        <is>
          <t/>
        </is>
      </c>
      <c r="K112" t="inlineStr">
        <is>
          <t/>
        </is>
      </c>
      <c r="L112" t="inlineStr">
        <is>
          <t/>
        </is>
      </c>
      <c r="M112" t="inlineStr">
        <is>
          <t/>
        </is>
      </c>
      <c r="N112" t="inlineStr">
        <is>
          <t/>
        </is>
      </c>
      <c r="O112" t="inlineStr">
        <is>
          <t/>
        </is>
      </c>
      <c r="P112">
        <f>IF(F112="","",IF(G112=XLOOKUP(F112,'Task Scoring Key'!$A:$A,'Task Scoring Key'!$C:$C,""),2,IF(G112=XLOOKUP(F112,'Task Scoring Key'!$A:$A,'Task Scoring Key'!$D:$D,""),1,0)))</f>
      </c>
      <c r="Q112">
        <f>IF(F112="","",IF(H112=XLOOKUP(F112,'Task Scoring Key'!$A:$A,'Task Scoring Key'!$E:$E,""),1,0))</f>
      </c>
      <c r="R112">
        <f>IF(COUNTA(K112:M112)=0,"",AVERAGE(K112:M112))</f>
      </c>
    </row>
    <row r="113">
      <c r="A113" t="inlineStr">
        <is>
          <t/>
        </is>
      </c>
      <c r="B113" t="inlineStr">
        <is>
          <t/>
        </is>
      </c>
      <c r="C113" t="inlineStr">
        <is>
          <t/>
        </is>
      </c>
      <c r="D113" t="inlineStr">
        <is>
          <t/>
        </is>
      </c>
      <c r="E113" t="inlineStr">
        <is>
          <t/>
        </is>
      </c>
      <c r="F113" t="inlineStr">
        <is>
          <t/>
        </is>
      </c>
      <c r="G113" t="inlineStr">
        <is>
          <t/>
        </is>
      </c>
      <c r="H113" t="inlineStr">
        <is>
          <t/>
        </is>
      </c>
      <c r="I113" t="inlineStr">
        <is>
          <t/>
        </is>
      </c>
      <c r="J113" t="inlineStr">
        <is>
          <t/>
        </is>
      </c>
      <c r="K113" t="inlineStr">
        <is>
          <t/>
        </is>
      </c>
      <c r="L113" t="inlineStr">
        <is>
          <t/>
        </is>
      </c>
      <c r="M113" t="inlineStr">
        <is>
          <t/>
        </is>
      </c>
      <c r="N113" t="inlineStr">
        <is>
          <t/>
        </is>
      </c>
      <c r="O113" t="inlineStr">
        <is>
          <t/>
        </is>
      </c>
      <c r="P113">
        <f>IF(F113="","",IF(G113=XLOOKUP(F113,'Task Scoring Key'!$A:$A,'Task Scoring Key'!$C:$C,""),2,IF(G113=XLOOKUP(F113,'Task Scoring Key'!$A:$A,'Task Scoring Key'!$D:$D,""),1,0)))</f>
      </c>
      <c r="Q113">
        <f>IF(F113="","",IF(H113=XLOOKUP(F113,'Task Scoring Key'!$A:$A,'Task Scoring Key'!$E:$E,""),1,0))</f>
      </c>
      <c r="R113">
        <f>IF(COUNTA(K113:M113)=0,"",AVERAGE(K113:M113))</f>
      </c>
    </row>
    <row r="114">
      <c r="A114" t="inlineStr">
        <is>
          <t/>
        </is>
      </c>
      <c r="B114" t="inlineStr">
        <is>
          <t/>
        </is>
      </c>
      <c r="C114" t="inlineStr">
        <is>
          <t/>
        </is>
      </c>
      <c r="D114" t="inlineStr">
        <is>
          <t/>
        </is>
      </c>
      <c r="E114" t="inlineStr">
        <is>
          <t/>
        </is>
      </c>
      <c r="F114" t="inlineStr">
        <is>
          <t/>
        </is>
      </c>
      <c r="G114" t="inlineStr">
        <is>
          <t/>
        </is>
      </c>
      <c r="H114" t="inlineStr">
        <is>
          <t/>
        </is>
      </c>
      <c r="I114" t="inlineStr">
        <is>
          <t/>
        </is>
      </c>
      <c r="J114" t="inlineStr">
        <is>
          <t/>
        </is>
      </c>
      <c r="K114" t="inlineStr">
        <is>
          <t/>
        </is>
      </c>
      <c r="L114" t="inlineStr">
        <is>
          <t/>
        </is>
      </c>
      <c r="M114" t="inlineStr">
        <is>
          <t/>
        </is>
      </c>
      <c r="N114" t="inlineStr">
        <is>
          <t/>
        </is>
      </c>
      <c r="O114" t="inlineStr">
        <is>
          <t/>
        </is>
      </c>
      <c r="P114">
        <f>IF(F114="","",IF(G114=XLOOKUP(F114,'Task Scoring Key'!$A:$A,'Task Scoring Key'!$C:$C,""),2,IF(G114=XLOOKUP(F114,'Task Scoring Key'!$A:$A,'Task Scoring Key'!$D:$D,""),1,0)))</f>
      </c>
      <c r="Q114">
        <f>IF(F114="","",IF(H114=XLOOKUP(F114,'Task Scoring Key'!$A:$A,'Task Scoring Key'!$E:$E,""),1,0))</f>
      </c>
      <c r="R114">
        <f>IF(COUNTA(K114:M114)=0,"",AVERAGE(K114:M114))</f>
      </c>
    </row>
    <row r="115">
      <c r="A115" t="inlineStr">
        <is>
          <t/>
        </is>
      </c>
      <c r="B115" t="inlineStr">
        <is>
          <t/>
        </is>
      </c>
      <c r="C115" t="inlineStr">
        <is>
          <t/>
        </is>
      </c>
      <c r="D115" t="inlineStr">
        <is>
          <t/>
        </is>
      </c>
      <c r="E115" t="inlineStr">
        <is>
          <t/>
        </is>
      </c>
      <c r="F115" t="inlineStr">
        <is>
          <t/>
        </is>
      </c>
      <c r="G115" t="inlineStr">
        <is>
          <t/>
        </is>
      </c>
      <c r="H115" t="inlineStr">
        <is>
          <t/>
        </is>
      </c>
      <c r="I115" t="inlineStr">
        <is>
          <t/>
        </is>
      </c>
      <c r="J115" t="inlineStr">
        <is>
          <t/>
        </is>
      </c>
      <c r="K115" t="inlineStr">
        <is>
          <t/>
        </is>
      </c>
      <c r="L115" t="inlineStr">
        <is>
          <t/>
        </is>
      </c>
      <c r="M115" t="inlineStr">
        <is>
          <t/>
        </is>
      </c>
      <c r="N115" t="inlineStr">
        <is>
          <t/>
        </is>
      </c>
      <c r="O115" t="inlineStr">
        <is>
          <t/>
        </is>
      </c>
      <c r="P115">
        <f>IF(F115="","",IF(G115=XLOOKUP(F115,'Task Scoring Key'!$A:$A,'Task Scoring Key'!$C:$C,""),2,IF(G115=XLOOKUP(F115,'Task Scoring Key'!$A:$A,'Task Scoring Key'!$D:$D,""),1,0)))</f>
      </c>
      <c r="Q115">
        <f>IF(F115="","",IF(H115=XLOOKUP(F115,'Task Scoring Key'!$A:$A,'Task Scoring Key'!$E:$E,""),1,0))</f>
      </c>
      <c r="R115">
        <f>IF(COUNTA(K115:M115)=0,"",AVERAGE(K115:M115))</f>
      </c>
    </row>
    <row r="116">
      <c r="A116" t="inlineStr">
        <is>
          <t/>
        </is>
      </c>
      <c r="B116" t="inlineStr">
        <is>
          <t/>
        </is>
      </c>
      <c r="C116" t="inlineStr">
        <is>
          <t/>
        </is>
      </c>
      <c r="D116" t="inlineStr">
        <is>
          <t/>
        </is>
      </c>
      <c r="E116" t="inlineStr">
        <is>
          <t/>
        </is>
      </c>
      <c r="F116" t="inlineStr">
        <is>
          <t/>
        </is>
      </c>
      <c r="G116" t="inlineStr">
        <is>
          <t/>
        </is>
      </c>
      <c r="H116" t="inlineStr">
        <is>
          <t/>
        </is>
      </c>
      <c r="I116" t="inlineStr">
        <is>
          <t/>
        </is>
      </c>
      <c r="J116" t="inlineStr">
        <is>
          <t/>
        </is>
      </c>
      <c r="K116" t="inlineStr">
        <is>
          <t/>
        </is>
      </c>
      <c r="L116" t="inlineStr">
        <is>
          <t/>
        </is>
      </c>
      <c r="M116" t="inlineStr">
        <is>
          <t/>
        </is>
      </c>
      <c r="N116" t="inlineStr">
        <is>
          <t/>
        </is>
      </c>
      <c r="O116" t="inlineStr">
        <is>
          <t/>
        </is>
      </c>
      <c r="P116">
        <f>IF(F116="","",IF(G116=XLOOKUP(F116,'Task Scoring Key'!$A:$A,'Task Scoring Key'!$C:$C,""),2,IF(G116=XLOOKUP(F116,'Task Scoring Key'!$A:$A,'Task Scoring Key'!$D:$D,""),1,0)))</f>
      </c>
      <c r="Q116">
        <f>IF(F116="","",IF(H116=XLOOKUP(F116,'Task Scoring Key'!$A:$A,'Task Scoring Key'!$E:$E,""),1,0))</f>
      </c>
      <c r="R116">
        <f>IF(COUNTA(K116:M116)=0,"",AVERAGE(K116:M116))</f>
      </c>
    </row>
    <row r="117">
      <c r="A117" t="inlineStr">
        <is>
          <t/>
        </is>
      </c>
      <c r="B117" t="inlineStr">
        <is>
          <t/>
        </is>
      </c>
      <c r="C117" t="inlineStr">
        <is>
          <t/>
        </is>
      </c>
      <c r="D117" t="inlineStr">
        <is>
          <t/>
        </is>
      </c>
      <c r="E117" t="inlineStr">
        <is>
          <t/>
        </is>
      </c>
      <c r="F117" t="inlineStr">
        <is>
          <t/>
        </is>
      </c>
      <c r="G117" t="inlineStr">
        <is>
          <t/>
        </is>
      </c>
      <c r="H117" t="inlineStr">
        <is>
          <t/>
        </is>
      </c>
      <c r="I117" t="inlineStr">
        <is>
          <t/>
        </is>
      </c>
      <c r="J117" t="inlineStr">
        <is>
          <t/>
        </is>
      </c>
      <c r="K117" t="inlineStr">
        <is>
          <t/>
        </is>
      </c>
      <c r="L117" t="inlineStr">
        <is>
          <t/>
        </is>
      </c>
      <c r="M117" t="inlineStr">
        <is>
          <t/>
        </is>
      </c>
      <c r="N117" t="inlineStr">
        <is>
          <t/>
        </is>
      </c>
      <c r="O117" t="inlineStr">
        <is>
          <t/>
        </is>
      </c>
      <c r="P117">
        <f>IF(F117="","",IF(G117=XLOOKUP(F117,'Task Scoring Key'!$A:$A,'Task Scoring Key'!$C:$C,""),2,IF(G117=XLOOKUP(F117,'Task Scoring Key'!$A:$A,'Task Scoring Key'!$D:$D,""),1,0)))</f>
      </c>
      <c r="Q117">
        <f>IF(F117="","",IF(H117=XLOOKUP(F117,'Task Scoring Key'!$A:$A,'Task Scoring Key'!$E:$E,""),1,0))</f>
      </c>
      <c r="R117">
        <f>IF(COUNTA(K117:M117)=0,"",AVERAGE(K117:M117))</f>
      </c>
    </row>
    <row r="118">
      <c r="A118" t="inlineStr">
        <is>
          <t/>
        </is>
      </c>
      <c r="B118" t="inlineStr">
        <is>
          <t/>
        </is>
      </c>
      <c r="C118" t="inlineStr">
        <is>
          <t/>
        </is>
      </c>
      <c r="D118" t="inlineStr">
        <is>
          <t/>
        </is>
      </c>
      <c r="E118" t="inlineStr">
        <is>
          <t/>
        </is>
      </c>
      <c r="F118" t="inlineStr">
        <is>
          <t/>
        </is>
      </c>
      <c r="G118" t="inlineStr">
        <is>
          <t/>
        </is>
      </c>
      <c r="H118" t="inlineStr">
        <is>
          <t/>
        </is>
      </c>
      <c r="I118" t="inlineStr">
        <is>
          <t/>
        </is>
      </c>
      <c r="J118" t="inlineStr">
        <is>
          <t/>
        </is>
      </c>
      <c r="K118" t="inlineStr">
        <is>
          <t/>
        </is>
      </c>
      <c r="L118" t="inlineStr">
        <is>
          <t/>
        </is>
      </c>
      <c r="M118" t="inlineStr">
        <is>
          <t/>
        </is>
      </c>
      <c r="N118" t="inlineStr">
        <is>
          <t/>
        </is>
      </c>
      <c r="O118" t="inlineStr">
        <is>
          <t/>
        </is>
      </c>
      <c r="P118">
        <f>IF(F118="","",IF(G118=XLOOKUP(F118,'Task Scoring Key'!$A:$A,'Task Scoring Key'!$C:$C,""),2,IF(G118=XLOOKUP(F118,'Task Scoring Key'!$A:$A,'Task Scoring Key'!$D:$D,""),1,0)))</f>
      </c>
      <c r="Q118">
        <f>IF(F118="","",IF(H118=XLOOKUP(F118,'Task Scoring Key'!$A:$A,'Task Scoring Key'!$E:$E,""),1,0))</f>
      </c>
      <c r="R118">
        <f>IF(COUNTA(K118:M118)=0,"",AVERAGE(K118:M118))</f>
      </c>
    </row>
    <row r="119">
      <c r="A119" t="inlineStr">
        <is>
          <t/>
        </is>
      </c>
      <c r="B119" t="inlineStr">
        <is>
          <t/>
        </is>
      </c>
      <c r="C119" t="inlineStr">
        <is>
          <t/>
        </is>
      </c>
      <c r="D119" t="inlineStr">
        <is>
          <t/>
        </is>
      </c>
      <c r="E119" t="inlineStr">
        <is>
          <t/>
        </is>
      </c>
      <c r="F119" t="inlineStr">
        <is>
          <t/>
        </is>
      </c>
      <c r="G119" t="inlineStr">
        <is>
          <t/>
        </is>
      </c>
      <c r="H119" t="inlineStr">
        <is>
          <t/>
        </is>
      </c>
      <c r="I119" t="inlineStr">
        <is>
          <t/>
        </is>
      </c>
      <c r="J119" t="inlineStr">
        <is>
          <t/>
        </is>
      </c>
      <c r="K119" t="inlineStr">
        <is>
          <t/>
        </is>
      </c>
      <c r="L119" t="inlineStr">
        <is>
          <t/>
        </is>
      </c>
      <c r="M119" t="inlineStr">
        <is>
          <t/>
        </is>
      </c>
      <c r="N119" t="inlineStr">
        <is>
          <t/>
        </is>
      </c>
      <c r="O119" t="inlineStr">
        <is>
          <t/>
        </is>
      </c>
      <c r="P119">
        <f>IF(F119="","",IF(G119=XLOOKUP(F119,'Task Scoring Key'!$A:$A,'Task Scoring Key'!$C:$C,""),2,IF(G119=XLOOKUP(F119,'Task Scoring Key'!$A:$A,'Task Scoring Key'!$D:$D,""),1,0)))</f>
      </c>
      <c r="Q119">
        <f>IF(F119="","",IF(H119=XLOOKUP(F119,'Task Scoring Key'!$A:$A,'Task Scoring Key'!$E:$E,""),1,0))</f>
      </c>
      <c r="R119">
        <f>IF(COUNTA(K119:M119)=0,"",AVERAGE(K119:M119))</f>
      </c>
    </row>
    <row r="120">
      <c r="A120" t="inlineStr">
        <is>
          <t/>
        </is>
      </c>
      <c r="B120" t="inlineStr">
        <is>
          <t/>
        </is>
      </c>
      <c r="C120" t="inlineStr">
        <is>
          <t/>
        </is>
      </c>
      <c r="D120" t="inlineStr">
        <is>
          <t/>
        </is>
      </c>
      <c r="E120" t="inlineStr">
        <is>
          <t/>
        </is>
      </c>
      <c r="F120" t="inlineStr">
        <is>
          <t/>
        </is>
      </c>
      <c r="G120" t="inlineStr">
        <is>
          <t/>
        </is>
      </c>
      <c r="H120" t="inlineStr">
        <is>
          <t/>
        </is>
      </c>
      <c r="I120" t="inlineStr">
        <is>
          <t/>
        </is>
      </c>
      <c r="J120" t="inlineStr">
        <is>
          <t/>
        </is>
      </c>
      <c r="K120" t="inlineStr">
        <is>
          <t/>
        </is>
      </c>
      <c r="L120" t="inlineStr">
        <is>
          <t/>
        </is>
      </c>
      <c r="M120" t="inlineStr">
        <is>
          <t/>
        </is>
      </c>
      <c r="N120" t="inlineStr">
        <is>
          <t/>
        </is>
      </c>
      <c r="O120" t="inlineStr">
        <is>
          <t/>
        </is>
      </c>
      <c r="P120">
        <f>IF(F120="","",IF(G120=XLOOKUP(F120,'Task Scoring Key'!$A:$A,'Task Scoring Key'!$C:$C,""),2,IF(G120=XLOOKUP(F120,'Task Scoring Key'!$A:$A,'Task Scoring Key'!$D:$D,""),1,0)))</f>
      </c>
      <c r="Q120">
        <f>IF(F120="","",IF(H120=XLOOKUP(F120,'Task Scoring Key'!$A:$A,'Task Scoring Key'!$E:$E,""),1,0))</f>
      </c>
      <c r="R120">
        <f>IF(COUNTA(K120:M120)=0,"",AVERAGE(K120:M120))</f>
      </c>
    </row>
    <row r="121">
      <c r="A121" t="inlineStr">
        <is>
          <t/>
        </is>
      </c>
      <c r="B121" t="inlineStr">
        <is>
          <t/>
        </is>
      </c>
      <c r="C121" t="inlineStr">
        <is>
          <t/>
        </is>
      </c>
      <c r="D121" t="inlineStr">
        <is>
          <t/>
        </is>
      </c>
      <c r="E121" t="inlineStr">
        <is>
          <t/>
        </is>
      </c>
      <c r="F121" t="inlineStr">
        <is>
          <t/>
        </is>
      </c>
      <c r="G121" t="inlineStr">
        <is>
          <t/>
        </is>
      </c>
      <c r="H121" t="inlineStr">
        <is>
          <t/>
        </is>
      </c>
      <c r="I121" t="inlineStr">
        <is>
          <t/>
        </is>
      </c>
      <c r="J121" t="inlineStr">
        <is>
          <t/>
        </is>
      </c>
      <c r="K121" t="inlineStr">
        <is>
          <t/>
        </is>
      </c>
      <c r="L121" t="inlineStr">
        <is>
          <t/>
        </is>
      </c>
      <c r="M121" t="inlineStr">
        <is>
          <t/>
        </is>
      </c>
      <c r="N121" t="inlineStr">
        <is>
          <t/>
        </is>
      </c>
      <c r="O121" t="inlineStr">
        <is>
          <t/>
        </is>
      </c>
      <c r="P121">
        <f>IF(F121="","",IF(G121=XLOOKUP(F121,'Task Scoring Key'!$A:$A,'Task Scoring Key'!$C:$C,""),2,IF(G121=XLOOKUP(F121,'Task Scoring Key'!$A:$A,'Task Scoring Key'!$D:$D,""),1,0)))</f>
      </c>
      <c r="Q121">
        <f>IF(F121="","",IF(H121=XLOOKUP(F121,'Task Scoring Key'!$A:$A,'Task Scoring Key'!$E:$E,""),1,0))</f>
      </c>
      <c r="R121">
        <f>IF(COUNTA(K121:M121)=0,"",AVERAGE(K121:M121))</f>
      </c>
    </row>
    <row r="122">
      <c r="A122" t="inlineStr">
        <is>
          <t/>
        </is>
      </c>
      <c r="B122" t="inlineStr">
        <is>
          <t/>
        </is>
      </c>
      <c r="C122" t="inlineStr">
        <is>
          <t/>
        </is>
      </c>
      <c r="D122" t="inlineStr">
        <is>
          <t/>
        </is>
      </c>
      <c r="E122" t="inlineStr">
        <is>
          <t/>
        </is>
      </c>
      <c r="F122" t="inlineStr">
        <is>
          <t/>
        </is>
      </c>
      <c r="G122" t="inlineStr">
        <is>
          <t/>
        </is>
      </c>
      <c r="H122" t="inlineStr">
        <is>
          <t/>
        </is>
      </c>
      <c r="I122" t="inlineStr">
        <is>
          <t/>
        </is>
      </c>
      <c r="J122" t="inlineStr">
        <is>
          <t/>
        </is>
      </c>
      <c r="K122" t="inlineStr">
        <is>
          <t/>
        </is>
      </c>
      <c r="L122" t="inlineStr">
        <is>
          <t/>
        </is>
      </c>
      <c r="M122" t="inlineStr">
        <is>
          <t/>
        </is>
      </c>
      <c r="N122" t="inlineStr">
        <is>
          <t/>
        </is>
      </c>
      <c r="O122" t="inlineStr">
        <is>
          <t/>
        </is>
      </c>
      <c r="P122">
        <f>IF(F122="","",IF(G122=XLOOKUP(F122,'Task Scoring Key'!$A:$A,'Task Scoring Key'!$C:$C,""),2,IF(G122=XLOOKUP(F122,'Task Scoring Key'!$A:$A,'Task Scoring Key'!$D:$D,""),1,0)))</f>
      </c>
      <c r="Q122">
        <f>IF(F122="","",IF(H122=XLOOKUP(F122,'Task Scoring Key'!$A:$A,'Task Scoring Key'!$E:$E,""),1,0))</f>
      </c>
      <c r="R122">
        <f>IF(COUNTA(K122:M122)=0,"",AVERAGE(K122:M122))</f>
      </c>
    </row>
    <row r="123">
      <c r="A123" t="inlineStr">
        <is>
          <t/>
        </is>
      </c>
      <c r="B123" t="inlineStr">
        <is>
          <t/>
        </is>
      </c>
      <c r="C123" t="inlineStr">
        <is>
          <t/>
        </is>
      </c>
      <c r="D123" t="inlineStr">
        <is>
          <t/>
        </is>
      </c>
      <c r="E123" t="inlineStr">
        <is>
          <t/>
        </is>
      </c>
      <c r="F123" t="inlineStr">
        <is>
          <t/>
        </is>
      </c>
      <c r="G123" t="inlineStr">
        <is>
          <t/>
        </is>
      </c>
      <c r="H123" t="inlineStr">
        <is>
          <t/>
        </is>
      </c>
      <c r="I123" t="inlineStr">
        <is>
          <t/>
        </is>
      </c>
      <c r="J123" t="inlineStr">
        <is>
          <t/>
        </is>
      </c>
      <c r="K123" t="inlineStr">
        <is>
          <t/>
        </is>
      </c>
      <c r="L123" t="inlineStr">
        <is>
          <t/>
        </is>
      </c>
      <c r="M123" t="inlineStr">
        <is>
          <t/>
        </is>
      </c>
      <c r="N123" t="inlineStr">
        <is>
          <t/>
        </is>
      </c>
      <c r="O123" t="inlineStr">
        <is>
          <t/>
        </is>
      </c>
      <c r="P123">
        <f>IF(F123="","",IF(G123=XLOOKUP(F123,'Task Scoring Key'!$A:$A,'Task Scoring Key'!$C:$C,""),2,IF(G123=XLOOKUP(F123,'Task Scoring Key'!$A:$A,'Task Scoring Key'!$D:$D,""),1,0)))</f>
      </c>
      <c r="Q123">
        <f>IF(F123="","",IF(H123=XLOOKUP(F123,'Task Scoring Key'!$A:$A,'Task Scoring Key'!$E:$E,""),1,0))</f>
      </c>
      <c r="R123">
        <f>IF(COUNTA(K123:M123)=0,"",AVERAGE(K123:M123))</f>
      </c>
    </row>
    <row r="124">
      <c r="A124" t="inlineStr">
        <is>
          <t/>
        </is>
      </c>
      <c r="B124" t="inlineStr">
        <is>
          <t/>
        </is>
      </c>
      <c r="C124" t="inlineStr">
        <is>
          <t/>
        </is>
      </c>
      <c r="D124" t="inlineStr">
        <is>
          <t/>
        </is>
      </c>
      <c r="E124" t="inlineStr">
        <is>
          <t/>
        </is>
      </c>
      <c r="F124" t="inlineStr">
        <is>
          <t/>
        </is>
      </c>
      <c r="G124" t="inlineStr">
        <is>
          <t/>
        </is>
      </c>
      <c r="H124" t="inlineStr">
        <is>
          <t/>
        </is>
      </c>
      <c r="I124" t="inlineStr">
        <is>
          <t/>
        </is>
      </c>
      <c r="J124" t="inlineStr">
        <is>
          <t/>
        </is>
      </c>
      <c r="K124" t="inlineStr">
        <is>
          <t/>
        </is>
      </c>
      <c r="L124" t="inlineStr">
        <is>
          <t/>
        </is>
      </c>
      <c r="M124" t="inlineStr">
        <is>
          <t/>
        </is>
      </c>
      <c r="N124" t="inlineStr">
        <is>
          <t/>
        </is>
      </c>
      <c r="O124" t="inlineStr">
        <is>
          <t/>
        </is>
      </c>
      <c r="P124">
        <f>IF(F124="","",IF(G124=XLOOKUP(F124,'Task Scoring Key'!$A:$A,'Task Scoring Key'!$C:$C,""),2,IF(G124=XLOOKUP(F124,'Task Scoring Key'!$A:$A,'Task Scoring Key'!$D:$D,""),1,0)))</f>
      </c>
      <c r="Q124">
        <f>IF(F124="","",IF(H124=XLOOKUP(F124,'Task Scoring Key'!$A:$A,'Task Scoring Key'!$E:$E,""),1,0))</f>
      </c>
      <c r="R124">
        <f>IF(COUNTA(K124:M124)=0,"",AVERAGE(K124:M124))</f>
      </c>
    </row>
    <row r="125">
      <c r="A125" t="inlineStr">
        <is>
          <t/>
        </is>
      </c>
      <c r="B125" t="inlineStr">
        <is>
          <t/>
        </is>
      </c>
      <c r="C125" t="inlineStr">
        <is>
          <t/>
        </is>
      </c>
      <c r="D125" t="inlineStr">
        <is>
          <t/>
        </is>
      </c>
      <c r="E125" t="inlineStr">
        <is>
          <t/>
        </is>
      </c>
      <c r="F125" t="inlineStr">
        <is>
          <t/>
        </is>
      </c>
      <c r="G125" t="inlineStr">
        <is>
          <t/>
        </is>
      </c>
      <c r="H125" t="inlineStr">
        <is>
          <t/>
        </is>
      </c>
      <c r="I125" t="inlineStr">
        <is>
          <t/>
        </is>
      </c>
      <c r="J125" t="inlineStr">
        <is>
          <t/>
        </is>
      </c>
      <c r="K125" t="inlineStr">
        <is>
          <t/>
        </is>
      </c>
      <c r="L125" t="inlineStr">
        <is>
          <t/>
        </is>
      </c>
      <c r="M125" t="inlineStr">
        <is>
          <t/>
        </is>
      </c>
      <c r="N125" t="inlineStr">
        <is>
          <t/>
        </is>
      </c>
      <c r="O125" t="inlineStr">
        <is>
          <t/>
        </is>
      </c>
      <c r="P125">
        <f>IF(F125="","",IF(G125=XLOOKUP(F125,'Task Scoring Key'!$A:$A,'Task Scoring Key'!$C:$C,""),2,IF(G125=XLOOKUP(F125,'Task Scoring Key'!$A:$A,'Task Scoring Key'!$D:$D,""),1,0)))</f>
      </c>
      <c r="Q125">
        <f>IF(F125="","",IF(H125=XLOOKUP(F125,'Task Scoring Key'!$A:$A,'Task Scoring Key'!$E:$E,""),1,0))</f>
      </c>
      <c r="R125">
        <f>IF(COUNTA(K125:M125)=0,"",AVERAGE(K125:M125))</f>
      </c>
    </row>
    <row r="126">
      <c r="A126" t="inlineStr">
        <is>
          <t/>
        </is>
      </c>
      <c r="B126" t="inlineStr">
        <is>
          <t/>
        </is>
      </c>
      <c r="C126" t="inlineStr">
        <is>
          <t/>
        </is>
      </c>
      <c r="D126" t="inlineStr">
        <is>
          <t/>
        </is>
      </c>
      <c r="E126" t="inlineStr">
        <is>
          <t/>
        </is>
      </c>
      <c r="F126" t="inlineStr">
        <is>
          <t/>
        </is>
      </c>
      <c r="G126" t="inlineStr">
        <is>
          <t/>
        </is>
      </c>
      <c r="H126" t="inlineStr">
        <is>
          <t/>
        </is>
      </c>
      <c r="I126" t="inlineStr">
        <is>
          <t/>
        </is>
      </c>
      <c r="J126" t="inlineStr">
        <is>
          <t/>
        </is>
      </c>
      <c r="K126" t="inlineStr">
        <is>
          <t/>
        </is>
      </c>
      <c r="L126" t="inlineStr">
        <is>
          <t/>
        </is>
      </c>
      <c r="M126" t="inlineStr">
        <is>
          <t/>
        </is>
      </c>
      <c r="N126" t="inlineStr">
        <is>
          <t/>
        </is>
      </c>
      <c r="O126" t="inlineStr">
        <is>
          <t/>
        </is>
      </c>
      <c r="P126">
        <f>IF(F126="","",IF(G126=XLOOKUP(F126,'Task Scoring Key'!$A:$A,'Task Scoring Key'!$C:$C,""),2,IF(G126=XLOOKUP(F126,'Task Scoring Key'!$A:$A,'Task Scoring Key'!$D:$D,""),1,0)))</f>
      </c>
      <c r="Q126">
        <f>IF(F126="","",IF(H126=XLOOKUP(F126,'Task Scoring Key'!$A:$A,'Task Scoring Key'!$E:$E,""),1,0))</f>
      </c>
      <c r="R126">
        <f>IF(COUNTA(K126:M126)=0,"",AVERAGE(K126:M126))</f>
      </c>
    </row>
    <row r="127">
      <c r="A127" t="inlineStr">
        <is>
          <t/>
        </is>
      </c>
      <c r="B127" t="inlineStr">
        <is>
          <t/>
        </is>
      </c>
      <c r="C127" t="inlineStr">
        <is>
          <t/>
        </is>
      </c>
      <c r="D127" t="inlineStr">
        <is>
          <t/>
        </is>
      </c>
      <c r="E127" t="inlineStr">
        <is>
          <t/>
        </is>
      </c>
      <c r="F127" t="inlineStr">
        <is>
          <t/>
        </is>
      </c>
      <c r="G127" t="inlineStr">
        <is>
          <t/>
        </is>
      </c>
      <c r="H127" t="inlineStr">
        <is>
          <t/>
        </is>
      </c>
      <c r="I127" t="inlineStr">
        <is>
          <t/>
        </is>
      </c>
      <c r="J127" t="inlineStr">
        <is>
          <t/>
        </is>
      </c>
      <c r="K127" t="inlineStr">
        <is>
          <t/>
        </is>
      </c>
      <c r="L127" t="inlineStr">
        <is>
          <t/>
        </is>
      </c>
      <c r="M127" t="inlineStr">
        <is>
          <t/>
        </is>
      </c>
      <c r="N127" t="inlineStr">
        <is>
          <t/>
        </is>
      </c>
      <c r="O127" t="inlineStr">
        <is>
          <t/>
        </is>
      </c>
      <c r="P127">
        <f>IF(F127="","",IF(G127=XLOOKUP(F127,'Task Scoring Key'!$A:$A,'Task Scoring Key'!$C:$C,""),2,IF(G127=XLOOKUP(F127,'Task Scoring Key'!$A:$A,'Task Scoring Key'!$D:$D,""),1,0)))</f>
      </c>
      <c r="Q127">
        <f>IF(F127="","",IF(H127=XLOOKUP(F127,'Task Scoring Key'!$A:$A,'Task Scoring Key'!$E:$E,""),1,0))</f>
      </c>
      <c r="R127">
        <f>IF(COUNTA(K127:M127)=0,"",AVERAGE(K127:M127))</f>
      </c>
    </row>
    <row r="128">
      <c r="A128" t="inlineStr">
        <is>
          <t/>
        </is>
      </c>
      <c r="B128" t="inlineStr">
        <is>
          <t/>
        </is>
      </c>
      <c r="C128" t="inlineStr">
        <is>
          <t/>
        </is>
      </c>
      <c r="D128" t="inlineStr">
        <is>
          <t/>
        </is>
      </c>
      <c r="E128" t="inlineStr">
        <is>
          <t/>
        </is>
      </c>
      <c r="F128" t="inlineStr">
        <is>
          <t/>
        </is>
      </c>
      <c r="G128" t="inlineStr">
        <is>
          <t/>
        </is>
      </c>
      <c r="H128" t="inlineStr">
        <is>
          <t/>
        </is>
      </c>
      <c r="I128" t="inlineStr">
        <is>
          <t/>
        </is>
      </c>
      <c r="J128" t="inlineStr">
        <is>
          <t/>
        </is>
      </c>
      <c r="K128" t="inlineStr">
        <is>
          <t/>
        </is>
      </c>
      <c r="L128" t="inlineStr">
        <is>
          <t/>
        </is>
      </c>
      <c r="M128" t="inlineStr">
        <is>
          <t/>
        </is>
      </c>
      <c r="N128" t="inlineStr">
        <is>
          <t/>
        </is>
      </c>
      <c r="O128" t="inlineStr">
        <is>
          <t/>
        </is>
      </c>
      <c r="P128">
        <f>IF(F128="","",IF(G128=XLOOKUP(F128,'Task Scoring Key'!$A:$A,'Task Scoring Key'!$C:$C,""),2,IF(G128=XLOOKUP(F128,'Task Scoring Key'!$A:$A,'Task Scoring Key'!$D:$D,""),1,0)))</f>
      </c>
      <c r="Q128">
        <f>IF(F128="","",IF(H128=XLOOKUP(F128,'Task Scoring Key'!$A:$A,'Task Scoring Key'!$E:$E,""),1,0))</f>
      </c>
      <c r="R128">
        <f>IF(COUNTA(K128:M128)=0,"",AVERAGE(K128:M128))</f>
      </c>
    </row>
    <row r="129">
      <c r="A129" t="inlineStr">
        <is>
          <t/>
        </is>
      </c>
      <c r="B129" t="inlineStr">
        <is>
          <t/>
        </is>
      </c>
      <c r="C129" t="inlineStr">
        <is>
          <t/>
        </is>
      </c>
      <c r="D129" t="inlineStr">
        <is>
          <t/>
        </is>
      </c>
      <c r="E129" t="inlineStr">
        <is>
          <t/>
        </is>
      </c>
      <c r="F129" t="inlineStr">
        <is>
          <t/>
        </is>
      </c>
      <c r="G129" t="inlineStr">
        <is>
          <t/>
        </is>
      </c>
      <c r="H129" t="inlineStr">
        <is>
          <t/>
        </is>
      </c>
      <c r="I129" t="inlineStr">
        <is>
          <t/>
        </is>
      </c>
      <c r="J129" t="inlineStr">
        <is>
          <t/>
        </is>
      </c>
      <c r="K129" t="inlineStr">
        <is>
          <t/>
        </is>
      </c>
      <c r="L129" t="inlineStr">
        <is>
          <t/>
        </is>
      </c>
      <c r="M129" t="inlineStr">
        <is>
          <t/>
        </is>
      </c>
      <c r="N129" t="inlineStr">
        <is>
          <t/>
        </is>
      </c>
      <c r="O129" t="inlineStr">
        <is>
          <t/>
        </is>
      </c>
      <c r="P129">
        <f>IF(F129="","",IF(G129=XLOOKUP(F129,'Task Scoring Key'!$A:$A,'Task Scoring Key'!$C:$C,""),2,IF(G129=XLOOKUP(F129,'Task Scoring Key'!$A:$A,'Task Scoring Key'!$D:$D,""),1,0)))</f>
      </c>
      <c r="Q129">
        <f>IF(F129="","",IF(H129=XLOOKUP(F129,'Task Scoring Key'!$A:$A,'Task Scoring Key'!$E:$E,""),1,0))</f>
      </c>
      <c r="R129">
        <f>IF(COUNTA(K129:M129)=0,"",AVERAGE(K129:M129))</f>
      </c>
    </row>
    <row r="130">
      <c r="A130" t="inlineStr">
        <is>
          <t/>
        </is>
      </c>
      <c r="B130" t="inlineStr">
        <is>
          <t/>
        </is>
      </c>
      <c r="C130" t="inlineStr">
        <is>
          <t/>
        </is>
      </c>
      <c r="D130" t="inlineStr">
        <is>
          <t/>
        </is>
      </c>
      <c r="E130" t="inlineStr">
        <is>
          <t/>
        </is>
      </c>
      <c r="F130" t="inlineStr">
        <is>
          <t/>
        </is>
      </c>
      <c r="G130" t="inlineStr">
        <is>
          <t/>
        </is>
      </c>
      <c r="H130" t="inlineStr">
        <is>
          <t/>
        </is>
      </c>
      <c r="I130" t="inlineStr">
        <is>
          <t/>
        </is>
      </c>
      <c r="J130" t="inlineStr">
        <is>
          <t/>
        </is>
      </c>
      <c r="K130" t="inlineStr">
        <is>
          <t/>
        </is>
      </c>
      <c r="L130" t="inlineStr">
        <is>
          <t/>
        </is>
      </c>
      <c r="M130" t="inlineStr">
        <is>
          <t/>
        </is>
      </c>
      <c r="N130" t="inlineStr">
        <is>
          <t/>
        </is>
      </c>
      <c r="O130" t="inlineStr">
        <is>
          <t/>
        </is>
      </c>
      <c r="P130">
        <f>IF(F130="","",IF(G130=XLOOKUP(F130,'Task Scoring Key'!$A:$A,'Task Scoring Key'!$C:$C,""),2,IF(G130=XLOOKUP(F130,'Task Scoring Key'!$A:$A,'Task Scoring Key'!$D:$D,""),1,0)))</f>
      </c>
      <c r="Q130">
        <f>IF(F130="","",IF(H130=XLOOKUP(F130,'Task Scoring Key'!$A:$A,'Task Scoring Key'!$E:$E,""),1,0))</f>
      </c>
      <c r="R130">
        <f>IF(COUNTA(K130:M130)=0,"",AVERAGE(K130:M130))</f>
      </c>
    </row>
    <row r="131">
      <c r="A131" t="inlineStr">
        <is>
          <t/>
        </is>
      </c>
      <c r="B131" t="inlineStr">
        <is>
          <t/>
        </is>
      </c>
      <c r="C131" t="inlineStr">
        <is>
          <t/>
        </is>
      </c>
      <c r="D131" t="inlineStr">
        <is>
          <t/>
        </is>
      </c>
      <c r="E131" t="inlineStr">
        <is>
          <t/>
        </is>
      </c>
      <c r="F131" t="inlineStr">
        <is>
          <t/>
        </is>
      </c>
      <c r="G131" t="inlineStr">
        <is>
          <t/>
        </is>
      </c>
      <c r="H131" t="inlineStr">
        <is>
          <t/>
        </is>
      </c>
      <c r="I131" t="inlineStr">
        <is>
          <t/>
        </is>
      </c>
      <c r="J131" t="inlineStr">
        <is>
          <t/>
        </is>
      </c>
      <c r="K131" t="inlineStr">
        <is>
          <t/>
        </is>
      </c>
      <c r="L131" t="inlineStr">
        <is>
          <t/>
        </is>
      </c>
      <c r="M131" t="inlineStr">
        <is>
          <t/>
        </is>
      </c>
      <c r="N131" t="inlineStr">
        <is>
          <t/>
        </is>
      </c>
      <c r="O131" t="inlineStr">
        <is>
          <t/>
        </is>
      </c>
      <c r="P131">
        <f>IF(F131="","",IF(G131=XLOOKUP(F131,'Task Scoring Key'!$A:$A,'Task Scoring Key'!$C:$C,""),2,IF(G131=XLOOKUP(F131,'Task Scoring Key'!$A:$A,'Task Scoring Key'!$D:$D,""),1,0)))</f>
      </c>
      <c r="Q131">
        <f>IF(F131="","",IF(H131=XLOOKUP(F131,'Task Scoring Key'!$A:$A,'Task Scoring Key'!$E:$E,""),1,0))</f>
      </c>
      <c r="R131">
        <f>IF(COUNTA(K131:M131)=0,"",AVERAGE(K131:M131))</f>
      </c>
    </row>
    <row r="132">
      <c r="A132" t="inlineStr">
        <is>
          <t/>
        </is>
      </c>
      <c r="B132" t="inlineStr">
        <is>
          <t/>
        </is>
      </c>
      <c r="C132" t="inlineStr">
        <is>
          <t/>
        </is>
      </c>
      <c r="D132" t="inlineStr">
        <is>
          <t/>
        </is>
      </c>
      <c r="E132" t="inlineStr">
        <is>
          <t/>
        </is>
      </c>
      <c r="F132" t="inlineStr">
        <is>
          <t/>
        </is>
      </c>
      <c r="G132" t="inlineStr">
        <is>
          <t/>
        </is>
      </c>
      <c r="H132" t="inlineStr">
        <is>
          <t/>
        </is>
      </c>
      <c r="I132" t="inlineStr">
        <is>
          <t/>
        </is>
      </c>
      <c r="J132" t="inlineStr">
        <is>
          <t/>
        </is>
      </c>
      <c r="K132" t="inlineStr">
        <is>
          <t/>
        </is>
      </c>
      <c r="L132" t="inlineStr">
        <is>
          <t/>
        </is>
      </c>
      <c r="M132" t="inlineStr">
        <is>
          <t/>
        </is>
      </c>
      <c r="N132" t="inlineStr">
        <is>
          <t/>
        </is>
      </c>
      <c r="O132" t="inlineStr">
        <is>
          <t/>
        </is>
      </c>
      <c r="P132">
        <f>IF(F132="","",IF(G132=XLOOKUP(F132,'Task Scoring Key'!$A:$A,'Task Scoring Key'!$C:$C,""),2,IF(G132=XLOOKUP(F132,'Task Scoring Key'!$A:$A,'Task Scoring Key'!$D:$D,""),1,0)))</f>
      </c>
      <c r="Q132">
        <f>IF(F132="","",IF(H132=XLOOKUP(F132,'Task Scoring Key'!$A:$A,'Task Scoring Key'!$E:$E,""),1,0))</f>
      </c>
      <c r="R132">
        <f>IF(COUNTA(K132:M132)=0,"",AVERAGE(K132:M132))</f>
      </c>
    </row>
    <row r="133">
      <c r="A133" t="inlineStr">
        <is>
          <t/>
        </is>
      </c>
      <c r="B133" t="inlineStr">
        <is>
          <t/>
        </is>
      </c>
      <c r="C133" t="inlineStr">
        <is>
          <t/>
        </is>
      </c>
      <c r="D133" t="inlineStr">
        <is>
          <t/>
        </is>
      </c>
      <c r="E133" t="inlineStr">
        <is>
          <t/>
        </is>
      </c>
      <c r="F133" t="inlineStr">
        <is>
          <t/>
        </is>
      </c>
      <c r="G133" t="inlineStr">
        <is>
          <t/>
        </is>
      </c>
      <c r="H133" t="inlineStr">
        <is>
          <t/>
        </is>
      </c>
      <c r="I133" t="inlineStr">
        <is>
          <t/>
        </is>
      </c>
      <c r="J133" t="inlineStr">
        <is>
          <t/>
        </is>
      </c>
      <c r="K133" t="inlineStr">
        <is>
          <t/>
        </is>
      </c>
      <c r="L133" t="inlineStr">
        <is>
          <t/>
        </is>
      </c>
      <c r="M133" t="inlineStr">
        <is>
          <t/>
        </is>
      </c>
      <c r="N133" t="inlineStr">
        <is>
          <t/>
        </is>
      </c>
      <c r="O133" t="inlineStr">
        <is>
          <t/>
        </is>
      </c>
      <c r="P133">
        <f>IF(F133="","",IF(G133=XLOOKUP(F133,'Task Scoring Key'!$A:$A,'Task Scoring Key'!$C:$C,""),2,IF(G133=XLOOKUP(F133,'Task Scoring Key'!$A:$A,'Task Scoring Key'!$D:$D,""),1,0)))</f>
      </c>
      <c r="Q133">
        <f>IF(F133="","",IF(H133=XLOOKUP(F133,'Task Scoring Key'!$A:$A,'Task Scoring Key'!$E:$E,""),1,0))</f>
      </c>
      <c r="R133">
        <f>IF(COUNTA(K133:M133)=0,"",AVERAGE(K133:M133))</f>
      </c>
    </row>
    <row r="134">
      <c r="A134" t="inlineStr">
        <is>
          <t/>
        </is>
      </c>
      <c r="B134" t="inlineStr">
        <is>
          <t/>
        </is>
      </c>
      <c r="C134" t="inlineStr">
        <is>
          <t/>
        </is>
      </c>
      <c r="D134" t="inlineStr">
        <is>
          <t/>
        </is>
      </c>
      <c r="E134" t="inlineStr">
        <is>
          <t/>
        </is>
      </c>
      <c r="F134" t="inlineStr">
        <is>
          <t/>
        </is>
      </c>
      <c r="G134" t="inlineStr">
        <is>
          <t/>
        </is>
      </c>
      <c r="H134" t="inlineStr">
        <is>
          <t/>
        </is>
      </c>
      <c r="I134" t="inlineStr">
        <is>
          <t/>
        </is>
      </c>
      <c r="J134" t="inlineStr">
        <is>
          <t/>
        </is>
      </c>
      <c r="K134" t="inlineStr">
        <is>
          <t/>
        </is>
      </c>
      <c r="L134" t="inlineStr">
        <is>
          <t/>
        </is>
      </c>
      <c r="M134" t="inlineStr">
        <is>
          <t/>
        </is>
      </c>
      <c r="N134" t="inlineStr">
        <is>
          <t/>
        </is>
      </c>
      <c r="O134" t="inlineStr">
        <is>
          <t/>
        </is>
      </c>
      <c r="P134">
        <f>IF(F134="","",IF(G134=XLOOKUP(F134,'Task Scoring Key'!$A:$A,'Task Scoring Key'!$C:$C,""),2,IF(G134=XLOOKUP(F134,'Task Scoring Key'!$A:$A,'Task Scoring Key'!$D:$D,""),1,0)))</f>
      </c>
      <c r="Q134">
        <f>IF(F134="","",IF(H134=XLOOKUP(F134,'Task Scoring Key'!$A:$A,'Task Scoring Key'!$E:$E,""),1,0))</f>
      </c>
      <c r="R134">
        <f>IF(COUNTA(K134:M134)=0,"",AVERAGE(K134:M134))</f>
      </c>
    </row>
    <row r="135">
      <c r="A135" t="inlineStr">
        <is>
          <t/>
        </is>
      </c>
      <c r="B135" t="inlineStr">
        <is>
          <t/>
        </is>
      </c>
      <c r="C135" t="inlineStr">
        <is>
          <t/>
        </is>
      </c>
      <c r="D135" t="inlineStr">
        <is>
          <t/>
        </is>
      </c>
      <c r="E135" t="inlineStr">
        <is>
          <t/>
        </is>
      </c>
      <c r="F135" t="inlineStr">
        <is>
          <t/>
        </is>
      </c>
      <c r="G135" t="inlineStr">
        <is>
          <t/>
        </is>
      </c>
      <c r="H135" t="inlineStr">
        <is>
          <t/>
        </is>
      </c>
      <c r="I135" t="inlineStr">
        <is>
          <t/>
        </is>
      </c>
      <c r="J135" t="inlineStr">
        <is>
          <t/>
        </is>
      </c>
      <c r="K135" t="inlineStr">
        <is>
          <t/>
        </is>
      </c>
      <c r="L135" t="inlineStr">
        <is>
          <t/>
        </is>
      </c>
      <c r="M135" t="inlineStr">
        <is>
          <t/>
        </is>
      </c>
      <c r="N135" t="inlineStr">
        <is>
          <t/>
        </is>
      </c>
      <c r="O135" t="inlineStr">
        <is>
          <t/>
        </is>
      </c>
      <c r="P135">
        <f>IF(F135="","",IF(G135=XLOOKUP(F135,'Task Scoring Key'!$A:$A,'Task Scoring Key'!$C:$C,""),2,IF(G135=XLOOKUP(F135,'Task Scoring Key'!$A:$A,'Task Scoring Key'!$D:$D,""),1,0)))</f>
      </c>
      <c r="Q135">
        <f>IF(F135="","",IF(H135=XLOOKUP(F135,'Task Scoring Key'!$A:$A,'Task Scoring Key'!$E:$E,""),1,0))</f>
      </c>
      <c r="R135">
        <f>IF(COUNTA(K135:M135)=0,"",AVERAGE(K135:M135))</f>
      </c>
    </row>
    <row r="136">
      <c r="A136" t="inlineStr">
        <is>
          <t/>
        </is>
      </c>
      <c r="B136" t="inlineStr">
        <is>
          <t/>
        </is>
      </c>
      <c r="C136" t="inlineStr">
        <is>
          <t/>
        </is>
      </c>
      <c r="D136" t="inlineStr">
        <is>
          <t/>
        </is>
      </c>
      <c r="E136" t="inlineStr">
        <is>
          <t/>
        </is>
      </c>
      <c r="F136" t="inlineStr">
        <is>
          <t/>
        </is>
      </c>
      <c r="G136" t="inlineStr">
        <is>
          <t/>
        </is>
      </c>
      <c r="H136" t="inlineStr">
        <is>
          <t/>
        </is>
      </c>
      <c r="I136" t="inlineStr">
        <is>
          <t/>
        </is>
      </c>
      <c r="J136" t="inlineStr">
        <is>
          <t/>
        </is>
      </c>
      <c r="K136" t="inlineStr">
        <is>
          <t/>
        </is>
      </c>
      <c r="L136" t="inlineStr">
        <is>
          <t/>
        </is>
      </c>
      <c r="M136" t="inlineStr">
        <is>
          <t/>
        </is>
      </c>
      <c r="N136" t="inlineStr">
        <is>
          <t/>
        </is>
      </c>
      <c r="O136" t="inlineStr">
        <is>
          <t/>
        </is>
      </c>
      <c r="P136">
        <f>IF(F136="","",IF(G136=XLOOKUP(F136,'Task Scoring Key'!$A:$A,'Task Scoring Key'!$C:$C,""),2,IF(G136=XLOOKUP(F136,'Task Scoring Key'!$A:$A,'Task Scoring Key'!$D:$D,""),1,0)))</f>
      </c>
      <c r="Q136">
        <f>IF(F136="","",IF(H136=XLOOKUP(F136,'Task Scoring Key'!$A:$A,'Task Scoring Key'!$E:$E,""),1,0))</f>
      </c>
      <c r="R136">
        <f>IF(COUNTA(K136:M136)=0,"",AVERAGE(K136:M136))</f>
      </c>
    </row>
    <row r="137">
      <c r="A137" t="inlineStr">
        <is>
          <t/>
        </is>
      </c>
      <c r="B137" t="inlineStr">
        <is>
          <t/>
        </is>
      </c>
      <c r="C137" t="inlineStr">
        <is>
          <t/>
        </is>
      </c>
      <c r="D137" t="inlineStr">
        <is>
          <t/>
        </is>
      </c>
      <c r="E137" t="inlineStr">
        <is>
          <t/>
        </is>
      </c>
      <c r="F137" t="inlineStr">
        <is>
          <t/>
        </is>
      </c>
      <c r="G137" t="inlineStr">
        <is>
          <t/>
        </is>
      </c>
      <c r="H137" t="inlineStr">
        <is>
          <t/>
        </is>
      </c>
      <c r="I137" t="inlineStr">
        <is>
          <t/>
        </is>
      </c>
      <c r="J137" t="inlineStr">
        <is>
          <t/>
        </is>
      </c>
      <c r="K137" t="inlineStr">
        <is>
          <t/>
        </is>
      </c>
      <c r="L137" t="inlineStr">
        <is>
          <t/>
        </is>
      </c>
      <c r="M137" t="inlineStr">
        <is>
          <t/>
        </is>
      </c>
      <c r="N137" t="inlineStr">
        <is>
          <t/>
        </is>
      </c>
      <c r="O137" t="inlineStr">
        <is>
          <t/>
        </is>
      </c>
      <c r="P137">
        <f>IF(F137="","",IF(G137=XLOOKUP(F137,'Task Scoring Key'!$A:$A,'Task Scoring Key'!$C:$C,""),2,IF(G137=XLOOKUP(F137,'Task Scoring Key'!$A:$A,'Task Scoring Key'!$D:$D,""),1,0)))</f>
      </c>
      <c r="Q137">
        <f>IF(F137="","",IF(H137=XLOOKUP(F137,'Task Scoring Key'!$A:$A,'Task Scoring Key'!$E:$E,""),1,0))</f>
      </c>
      <c r="R137">
        <f>IF(COUNTA(K137:M137)=0,"",AVERAGE(K137:M137))</f>
      </c>
    </row>
    <row r="138">
      <c r="A138" t="inlineStr">
        <is>
          <t/>
        </is>
      </c>
      <c r="B138" t="inlineStr">
        <is>
          <t/>
        </is>
      </c>
      <c r="C138" t="inlineStr">
        <is>
          <t/>
        </is>
      </c>
      <c r="D138" t="inlineStr">
        <is>
          <t/>
        </is>
      </c>
      <c r="E138" t="inlineStr">
        <is>
          <t/>
        </is>
      </c>
      <c r="F138" t="inlineStr">
        <is>
          <t/>
        </is>
      </c>
      <c r="G138" t="inlineStr">
        <is>
          <t/>
        </is>
      </c>
      <c r="H138" t="inlineStr">
        <is>
          <t/>
        </is>
      </c>
      <c r="I138" t="inlineStr">
        <is>
          <t/>
        </is>
      </c>
      <c r="J138" t="inlineStr">
        <is>
          <t/>
        </is>
      </c>
      <c r="K138" t="inlineStr">
        <is>
          <t/>
        </is>
      </c>
      <c r="L138" t="inlineStr">
        <is>
          <t/>
        </is>
      </c>
      <c r="M138" t="inlineStr">
        <is>
          <t/>
        </is>
      </c>
      <c r="N138" t="inlineStr">
        <is>
          <t/>
        </is>
      </c>
      <c r="O138" t="inlineStr">
        <is>
          <t/>
        </is>
      </c>
      <c r="P138">
        <f>IF(F138="","",IF(G138=XLOOKUP(F138,'Task Scoring Key'!$A:$A,'Task Scoring Key'!$C:$C,""),2,IF(G138=XLOOKUP(F138,'Task Scoring Key'!$A:$A,'Task Scoring Key'!$D:$D,""),1,0)))</f>
      </c>
      <c r="Q138">
        <f>IF(F138="","",IF(H138=XLOOKUP(F138,'Task Scoring Key'!$A:$A,'Task Scoring Key'!$E:$E,""),1,0))</f>
      </c>
      <c r="R138">
        <f>IF(COUNTA(K138:M138)=0,"",AVERAGE(K138:M138))</f>
      </c>
    </row>
    <row r="139">
      <c r="A139" t="inlineStr">
        <is>
          <t/>
        </is>
      </c>
      <c r="B139" t="inlineStr">
        <is>
          <t/>
        </is>
      </c>
      <c r="C139" t="inlineStr">
        <is>
          <t/>
        </is>
      </c>
      <c r="D139" t="inlineStr">
        <is>
          <t/>
        </is>
      </c>
      <c r="E139" t="inlineStr">
        <is>
          <t/>
        </is>
      </c>
      <c r="F139" t="inlineStr">
        <is>
          <t/>
        </is>
      </c>
      <c r="G139" t="inlineStr">
        <is>
          <t/>
        </is>
      </c>
      <c r="H139" t="inlineStr">
        <is>
          <t/>
        </is>
      </c>
      <c r="I139" t="inlineStr">
        <is>
          <t/>
        </is>
      </c>
      <c r="J139" t="inlineStr">
        <is>
          <t/>
        </is>
      </c>
      <c r="K139" t="inlineStr">
        <is>
          <t/>
        </is>
      </c>
      <c r="L139" t="inlineStr">
        <is>
          <t/>
        </is>
      </c>
      <c r="M139" t="inlineStr">
        <is>
          <t/>
        </is>
      </c>
      <c r="N139" t="inlineStr">
        <is>
          <t/>
        </is>
      </c>
      <c r="O139" t="inlineStr">
        <is>
          <t/>
        </is>
      </c>
      <c r="P139">
        <f>IF(F139="","",IF(G139=XLOOKUP(F139,'Task Scoring Key'!$A:$A,'Task Scoring Key'!$C:$C,""),2,IF(G139=XLOOKUP(F139,'Task Scoring Key'!$A:$A,'Task Scoring Key'!$D:$D,""),1,0)))</f>
      </c>
      <c r="Q139">
        <f>IF(F139="","",IF(H139=XLOOKUP(F139,'Task Scoring Key'!$A:$A,'Task Scoring Key'!$E:$E,""),1,0))</f>
      </c>
      <c r="R139">
        <f>IF(COUNTA(K139:M139)=0,"",AVERAGE(K139:M139))</f>
      </c>
    </row>
    <row r="140">
      <c r="A140" t="inlineStr">
        <is>
          <t/>
        </is>
      </c>
      <c r="B140" t="inlineStr">
        <is>
          <t/>
        </is>
      </c>
      <c r="C140" t="inlineStr">
        <is>
          <t/>
        </is>
      </c>
      <c r="D140" t="inlineStr">
        <is>
          <t/>
        </is>
      </c>
      <c r="E140" t="inlineStr">
        <is>
          <t/>
        </is>
      </c>
      <c r="F140" t="inlineStr">
        <is>
          <t/>
        </is>
      </c>
      <c r="G140" t="inlineStr">
        <is>
          <t/>
        </is>
      </c>
      <c r="H140" t="inlineStr">
        <is>
          <t/>
        </is>
      </c>
      <c r="I140" t="inlineStr">
        <is>
          <t/>
        </is>
      </c>
      <c r="J140" t="inlineStr">
        <is>
          <t/>
        </is>
      </c>
      <c r="K140" t="inlineStr">
        <is>
          <t/>
        </is>
      </c>
      <c r="L140" t="inlineStr">
        <is>
          <t/>
        </is>
      </c>
      <c r="M140" t="inlineStr">
        <is>
          <t/>
        </is>
      </c>
      <c r="N140" t="inlineStr">
        <is>
          <t/>
        </is>
      </c>
      <c r="O140" t="inlineStr">
        <is>
          <t/>
        </is>
      </c>
      <c r="P140">
        <f>IF(F140="","",IF(G140=XLOOKUP(F140,'Task Scoring Key'!$A:$A,'Task Scoring Key'!$C:$C,""),2,IF(G140=XLOOKUP(F140,'Task Scoring Key'!$A:$A,'Task Scoring Key'!$D:$D,""),1,0)))</f>
      </c>
      <c r="Q140">
        <f>IF(F140="","",IF(H140=XLOOKUP(F140,'Task Scoring Key'!$A:$A,'Task Scoring Key'!$E:$E,""),1,0))</f>
      </c>
      <c r="R140">
        <f>IF(COUNTA(K140:M140)=0,"",AVERAGE(K140:M140))</f>
      </c>
    </row>
    <row r="141">
      <c r="A141" t="inlineStr">
        <is>
          <t/>
        </is>
      </c>
      <c r="B141" t="inlineStr">
        <is>
          <t/>
        </is>
      </c>
      <c r="C141" t="inlineStr">
        <is>
          <t/>
        </is>
      </c>
      <c r="D141" t="inlineStr">
        <is>
          <t/>
        </is>
      </c>
      <c r="E141" t="inlineStr">
        <is>
          <t/>
        </is>
      </c>
      <c r="F141" t="inlineStr">
        <is>
          <t/>
        </is>
      </c>
      <c r="G141" t="inlineStr">
        <is>
          <t/>
        </is>
      </c>
      <c r="H141" t="inlineStr">
        <is>
          <t/>
        </is>
      </c>
      <c r="I141" t="inlineStr">
        <is>
          <t/>
        </is>
      </c>
      <c r="J141" t="inlineStr">
        <is>
          <t/>
        </is>
      </c>
      <c r="K141" t="inlineStr">
        <is>
          <t/>
        </is>
      </c>
      <c r="L141" t="inlineStr">
        <is>
          <t/>
        </is>
      </c>
      <c r="M141" t="inlineStr">
        <is>
          <t/>
        </is>
      </c>
      <c r="N141" t="inlineStr">
        <is>
          <t/>
        </is>
      </c>
      <c r="O141" t="inlineStr">
        <is>
          <t/>
        </is>
      </c>
      <c r="P141">
        <f>IF(F141="","",IF(G141=XLOOKUP(F141,'Task Scoring Key'!$A:$A,'Task Scoring Key'!$C:$C,""),2,IF(G141=XLOOKUP(F141,'Task Scoring Key'!$A:$A,'Task Scoring Key'!$D:$D,""),1,0)))</f>
      </c>
      <c r="Q141">
        <f>IF(F141="","",IF(H141=XLOOKUP(F141,'Task Scoring Key'!$A:$A,'Task Scoring Key'!$E:$E,""),1,0))</f>
      </c>
      <c r="R141">
        <f>IF(COUNTA(K141:M141)=0,"",AVERAGE(K141:M141))</f>
      </c>
    </row>
    <row r="142">
      <c r="A142" t="inlineStr">
        <is>
          <t/>
        </is>
      </c>
      <c r="B142" t="inlineStr">
        <is>
          <t/>
        </is>
      </c>
      <c r="C142" t="inlineStr">
        <is>
          <t/>
        </is>
      </c>
      <c r="D142" t="inlineStr">
        <is>
          <t/>
        </is>
      </c>
      <c r="E142" t="inlineStr">
        <is>
          <t/>
        </is>
      </c>
      <c r="F142" t="inlineStr">
        <is>
          <t/>
        </is>
      </c>
      <c r="G142" t="inlineStr">
        <is>
          <t/>
        </is>
      </c>
      <c r="H142" t="inlineStr">
        <is>
          <t/>
        </is>
      </c>
      <c r="I142" t="inlineStr">
        <is>
          <t/>
        </is>
      </c>
      <c r="J142" t="inlineStr">
        <is>
          <t/>
        </is>
      </c>
      <c r="K142" t="inlineStr">
        <is>
          <t/>
        </is>
      </c>
      <c r="L142" t="inlineStr">
        <is>
          <t/>
        </is>
      </c>
      <c r="M142" t="inlineStr">
        <is>
          <t/>
        </is>
      </c>
      <c r="N142" t="inlineStr">
        <is>
          <t/>
        </is>
      </c>
      <c r="O142" t="inlineStr">
        <is>
          <t/>
        </is>
      </c>
      <c r="P142">
        <f>IF(F142="","",IF(G142=XLOOKUP(F142,'Task Scoring Key'!$A:$A,'Task Scoring Key'!$C:$C,""),2,IF(G142=XLOOKUP(F142,'Task Scoring Key'!$A:$A,'Task Scoring Key'!$D:$D,""),1,0)))</f>
      </c>
      <c r="Q142">
        <f>IF(F142="","",IF(H142=XLOOKUP(F142,'Task Scoring Key'!$A:$A,'Task Scoring Key'!$E:$E,""),1,0))</f>
      </c>
      <c r="R142">
        <f>IF(COUNTA(K142:M142)=0,"",AVERAGE(K142:M142))</f>
      </c>
    </row>
    <row r="143">
      <c r="A143" t="inlineStr">
        <is>
          <t/>
        </is>
      </c>
      <c r="B143" t="inlineStr">
        <is>
          <t/>
        </is>
      </c>
      <c r="C143" t="inlineStr">
        <is>
          <t/>
        </is>
      </c>
      <c r="D143" t="inlineStr">
        <is>
          <t/>
        </is>
      </c>
      <c r="E143" t="inlineStr">
        <is>
          <t/>
        </is>
      </c>
      <c r="F143" t="inlineStr">
        <is>
          <t/>
        </is>
      </c>
      <c r="G143" t="inlineStr">
        <is>
          <t/>
        </is>
      </c>
      <c r="H143" t="inlineStr">
        <is>
          <t/>
        </is>
      </c>
      <c r="I143" t="inlineStr">
        <is>
          <t/>
        </is>
      </c>
      <c r="J143" t="inlineStr">
        <is>
          <t/>
        </is>
      </c>
      <c r="K143" t="inlineStr">
        <is>
          <t/>
        </is>
      </c>
      <c r="L143" t="inlineStr">
        <is>
          <t/>
        </is>
      </c>
      <c r="M143" t="inlineStr">
        <is>
          <t/>
        </is>
      </c>
      <c r="N143" t="inlineStr">
        <is>
          <t/>
        </is>
      </c>
      <c r="O143" t="inlineStr">
        <is>
          <t/>
        </is>
      </c>
      <c r="P143">
        <f>IF(F143="","",IF(G143=XLOOKUP(F143,'Task Scoring Key'!$A:$A,'Task Scoring Key'!$C:$C,""),2,IF(G143=XLOOKUP(F143,'Task Scoring Key'!$A:$A,'Task Scoring Key'!$D:$D,""),1,0)))</f>
      </c>
      <c r="Q143">
        <f>IF(F143="","",IF(H143=XLOOKUP(F143,'Task Scoring Key'!$A:$A,'Task Scoring Key'!$E:$E,""),1,0))</f>
      </c>
      <c r="R143">
        <f>IF(COUNTA(K143:M143)=0,"",AVERAGE(K143:M143))</f>
      </c>
    </row>
    <row r="144">
      <c r="A144" t="inlineStr">
        <is>
          <t/>
        </is>
      </c>
      <c r="B144" t="inlineStr">
        <is>
          <t/>
        </is>
      </c>
      <c r="C144" t="inlineStr">
        <is>
          <t/>
        </is>
      </c>
      <c r="D144" t="inlineStr">
        <is>
          <t/>
        </is>
      </c>
      <c r="E144" t="inlineStr">
        <is>
          <t/>
        </is>
      </c>
      <c r="F144" t="inlineStr">
        <is>
          <t/>
        </is>
      </c>
      <c r="G144" t="inlineStr">
        <is>
          <t/>
        </is>
      </c>
      <c r="H144" t="inlineStr">
        <is>
          <t/>
        </is>
      </c>
      <c r="I144" t="inlineStr">
        <is>
          <t/>
        </is>
      </c>
      <c r="J144" t="inlineStr">
        <is>
          <t/>
        </is>
      </c>
      <c r="K144" t="inlineStr">
        <is>
          <t/>
        </is>
      </c>
      <c r="L144" t="inlineStr">
        <is>
          <t/>
        </is>
      </c>
      <c r="M144" t="inlineStr">
        <is>
          <t/>
        </is>
      </c>
      <c r="N144" t="inlineStr">
        <is>
          <t/>
        </is>
      </c>
      <c r="O144" t="inlineStr">
        <is>
          <t/>
        </is>
      </c>
      <c r="P144">
        <f>IF(F144="","",IF(G144=XLOOKUP(F144,'Task Scoring Key'!$A:$A,'Task Scoring Key'!$C:$C,""),2,IF(G144=XLOOKUP(F144,'Task Scoring Key'!$A:$A,'Task Scoring Key'!$D:$D,""),1,0)))</f>
      </c>
      <c r="Q144">
        <f>IF(F144="","",IF(H144=XLOOKUP(F144,'Task Scoring Key'!$A:$A,'Task Scoring Key'!$E:$E,""),1,0))</f>
      </c>
      <c r="R144">
        <f>IF(COUNTA(K144:M144)=0,"",AVERAGE(K144:M144))</f>
      </c>
    </row>
    <row r="145">
      <c r="A145" t="inlineStr">
        <is>
          <t/>
        </is>
      </c>
      <c r="B145" t="inlineStr">
        <is>
          <t/>
        </is>
      </c>
      <c r="C145" t="inlineStr">
        <is>
          <t/>
        </is>
      </c>
      <c r="D145" t="inlineStr">
        <is>
          <t/>
        </is>
      </c>
      <c r="E145" t="inlineStr">
        <is>
          <t/>
        </is>
      </c>
      <c r="F145" t="inlineStr">
        <is>
          <t/>
        </is>
      </c>
      <c r="G145" t="inlineStr">
        <is>
          <t/>
        </is>
      </c>
      <c r="H145" t="inlineStr">
        <is>
          <t/>
        </is>
      </c>
      <c r="I145" t="inlineStr">
        <is>
          <t/>
        </is>
      </c>
      <c r="J145" t="inlineStr">
        <is>
          <t/>
        </is>
      </c>
      <c r="K145" t="inlineStr">
        <is>
          <t/>
        </is>
      </c>
      <c r="L145" t="inlineStr">
        <is>
          <t/>
        </is>
      </c>
      <c r="M145" t="inlineStr">
        <is>
          <t/>
        </is>
      </c>
      <c r="N145" t="inlineStr">
        <is>
          <t/>
        </is>
      </c>
      <c r="O145" t="inlineStr">
        <is>
          <t/>
        </is>
      </c>
      <c r="P145">
        <f>IF(F145="","",IF(G145=XLOOKUP(F145,'Task Scoring Key'!$A:$A,'Task Scoring Key'!$C:$C,""),2,IF(G145=XLOOKUP(F145,'Task Scoring Key'!$A:$A,'Task Scoring Key'!$D:$D,""),1,0)))</f>
      </c>
      <c r="Q145">
        <f>IF(F145="","",IF(H145=XLOOKUP(F145,'Task Scoring Key'!$A:$A,'Task Scoring Key'!$E:$E,""),1,0))</f>
      </c>
      <c r="R145">
        <f>IF(COUNTA(K145:M145)=0,"",AVERAGE(K145:M145))</f>
      </c>
    </row>
    <row r="146">
      <c r="A146" t="inlineStr">
        <is>
          <t/>
        </is>
      </c>
      <c r="B146" t="inlineStr">
        <is>
          <t/>
        </is>
      </c>
      <c r="C146" t="inlineStr">
        <is>
          <t/>
        </is>
      </c>
      <c r="D146" t="inlineStr">
        <is>
          <t/>
        </is>
      </c>
      <c r="E146" t="inlineStr">
        <is>
          <t/>
        </is>
      </c>
      <c r="F146" t="inlineStr">
        <is>
          <t/>
        </is>
      </c>
      <c r="G146" t="inlineStr">
        <is>
          <t/>
        </is>
      </c>
      <c r="H146" t="inlineStr">
        <is>
          <t/>
        </is>
      </c>
      <c r="I146" t="inlineStr">
        <is>
          <t/>
        </is>
      </c>
      <c r="J146" t="inlineStr">
        <is>
          <t/>
        </is>
      </c>
      <c r="K146" t="inlineStr">
        <is>
          <t/>
        </is>
      </c>
      <c r="L146" t="inlineStr">
        <is>
          <t/>
        </is>
      </c>
      <c r="M146" t="inlineStr">
        <is>
          <t/>
        </is>
      </c>
      <c r="N146" t="inlineStr">
        <is>
          <t/>
        </is>
      </c>
      <c r="O146" t="inlineStr">
        <is>
          <t/>
        </is>
      </c>
      <c r="P146">
        <f>IF(F146="","",IF(G146=XLOOKUP(F146,'Task Scoring Key'!$A:$A,'Task Scoring Key'!$C:$C,""),2,IF(G146=XLOOKUP(F146,'Task Scoring Key'!$A:$A,'Task Scoring Key'!$D:$D,""),1,0)))</f>
      </c>
      <c r="Q146">
        <f>IF(F146="","",IF(H146=XLOOKUP(F146,'Task Scoring Key'!$A:$A,'Task Scoring Key'!$E:$E,""),1,0))</f>
      </c>
      <c r="R146">
        <f>IF(COUNTA(K146:M146)=0,"",AVERAGE(K146:M146))</f>
      </c>
    </row>
    <row r="147">
      <c r="A147" t="inlineStr">
        <is>
          <t/>
        </is>
      </c>
      <c r="B147" t="inlineStr">
        <is>
          <t/>
        </is>
      </c>
      <c r="C147" t="inlineStr">
        <is>
          <t/>
        </is>
      </c>
      <c r="D147" t="inlineStr">
        <is>
          <t/>
        </is>
      </c>
      <c r="E147" t="inlineStr">
        <is>
          <t/>
        </is>
      </c>
      <c r="F147" t="inlineStr">
        <is>
          <t/>
        </is>
      </c>
      <c r="G147" t="inlineStr">
        <is>
          <t/>
        </is>
      </c>
      <c r="H147" t="inlineStr">
        <is>
          <t/>
        </is>
      </c>
      <c r="I147" t="inlineStr">
        <is>
          <t/>
        </is>
      </c>
      <c r="J147" t="inlineStr">
        <is>
          <t/>
        </is>
      </c>
      <c r="K147" t="inlineStr">
        <is>
          <t/>
        </is>
      </c>
      <c r="L147" t="inlineStr">
        <is>
          <t/>
        </is>
      </c>
      <c r="M147" t="inlineStr">
        <is>
          <t/>
        </is>
      </c>
      <c r="N147" t="inlineStr">
        <is>
          <t/>
        </is>
      </c>
      <c r="O147" t="inlineStr">
        <is>
          <t/>
        </is>
      </c>
      <c r="P147">
        <f>IF(F147="","",IF(G147=XLOOKUP(F147,'Task Scoring Key'!$A:$A,'Task Scoring Key'!$C:$C,""),2,IF(G147=XLOOKUP(F147,'Task Scoring Key'!$A:$A,'Task Scoring Key'!$D:$D,""),1,0)))</f>
      </c>
      <c r="Q147">
        <f>IF(F147="","",IF(H147=XLOOKUP(F147,'Task Scoring Key'!$A:$A,'Task Scoring Key'!$E:$E,""),1,0))</f>
      </c>
      <c r="R147">
        <f>IF(COUNTA(K147:M147)=0,"",AVERAGE(K147:M147))</f>
      </c>
    </row>
    <row r="148">
      <c r="A148" t="inlineStr">
        <is>
          <t/>
        </is>
      </c>
      <c r="B148" t="inlineStr">
        <is>
          <t/>
        </is>
      </c>
      <c r="C148" t="inlineStr">
        <is>
          <t/>
        </is>
      </c>
      <c r="D148" t="inlineStr">
        <is>
          <t/>
        </is>
      </c>
      <c r="E148" t="inlineStr">
        <is>
          <t/>
        </is>
      </c>
      <c r="F148" t="inlineStr">
        <is>
          <t/>
        </is>
      </c>
      <c r="G148" t="inlineStr">
        <is>
          <t/>
        </is>
      </c>
      <c r="H148" t="inlineStr">
        <is>
          <t/>
        </is>
      </c>
      <c r="I148" t="inlineStr">
        <is>
          <t/>
        </is>
      </c>
      <c r="J148" t="inlineStr">
        <is>
          <t/>
        </is>
      </c>
      <c r="K148" t="inlineStr">
        <is>
          <t/>
        </is>
      </c>
      <c r="L148" t="inlineStr">
        <is>
          <t/>
        </is>
      </c>
      <c r="M148" t="inlineStr">
        <is>
          <t/>
        </is>
      </c>
      <c r="N148" t="inlineStr">
        <is>
          <t/>
        </is>
      </c>
      <c r="O148" t="inlineStr">
        <is>
          <t/>
        </is>
      </c>
      <c r="P148">
        <f>IF(F148="","",IF(G148=XLOOKUP(F148,'Task Scoring Key'!$A:$A,'Task Scoring Key'!$C:$C,""),2,IF(G148=XLOOKUP(F148,'Task Scoring Key'!$A:$A,'Task Scoring Key'!$D:$D,""),1,0)))</f>
      </c>
      <c r="Q148">
        <f>IF(F148="","",IF(H148=XLOOKUP(F148,'Task Scoring Key'!$A:$A,'Task Scoring Key'!$E:$E,""),1,0))</f>
      </c>
      <c r="R148">
        <f>IF(COUNTA(K148:M148)=0,"",AVERAGE(K148:M148))</f>
      </c>
    </row>
    <row r="149">
      <c r="A149" t="inlineStr">
        <is>
          <t/>
        </is>
      </c>
      <c r="B149" t="inlineStr">
        <is>
          <t/>
        </is>
      </c>
      <c r="C149" t="inlineStr">
        <is>
          <t/>
        </is>
      </c>
      <c r="D149" t="inlineStr">
        <is>
          <t/>
        </is>
      </c>
      <c r="E149" t="inlineStr">
        <is>
          <t/>
        </is>
      </c>
      <c r="F149" t="inlineStr">
        <is>
          <t/>
        </is>
      </c>
      <c r="G149" t="inlineStr">
        <is>
          <t/>
        </is>
      </c>
      <c r="H149" t="inlineStr">
        <is>
          <t/>
        </is>
      </c>
      <c r="I149" t="inlineStr">
        <is>
          <t/>
        </is>
      </c>
      <c r="J149" t="inlineStr">
        <is>
          <t/>
        </is>
      </c>
      <c r="K149" t="inlineStr">
        <is>
          <t/>
        </is>
      </c>
      <c r="L149" t="inlineStr">
        <is>
          <t/>
        </is>
      </c>
      <c r="M149" t="inlineStr">
        <is>
          <t/>
        </is>
      </c>
      <c r="N149" t="inlineStr">
        <is>
          <t/>
        </is>
      </c>
      <c r="O149" t="inlineStr">
        <is>
          <t/>
        </is>
      </c>
      <c r="P149">
        <f>IF(F149="","",IF(G149=XLOOKUP(F149,'Task Scoring Key'!$A:$A,'Task Scoring Key'!$C:$C,""),2,IF(G149=XLOOKUP(F149,'Task Scoring Key'!$A:$A,'Task Scoring Key'!$D:$D,""),1,0)))</f>
      </c>
      <c r="Q149">
        <f>IF(F149="","",IF(H149=XLOOKUP(F149,'Task Scoring Key'!$A:$A,'Task Scoring Key'!$E:$E,""),1,0))</f>
      </c>
      <c r="R149">
        <f>IF(COUNTA(K149:M149)=0,"",AVERAGE(K149:M149))</f>
      </c>
    </row>
    <row r="150">
      <c r="A150" t="inlineStr">
        <is>
          <t/>
        </is>
      </c>
      <c r="B150" t="inlineStr">
        <is>
          <t/>
        </is>
      </c>
      <c r="C150" t="inlineStr">
        <is>
          <t/>
        </is>
      </c>
      <c r="D150" t="inlineStr">
        <is>
          <t/>
        </is>
      </c>
      <c r="E150" t="inlineStr">
        <is>
          <t/>
        </is>
      </c>
      <c r="F150" t="inlineStr">
        <is>
          <t/>
        </is>
      </c>
      <c r="G150" t="inlineStr">
        <is>
          <t/>
        </is>
      </c>
      <c r="H150" t="inlineStr">
        <is>
          <t/>
        </is>
      </c>
      <c r="I150" t="inlineStr">
        <is>
          <t/>
        </is>
      </c>
      <c r="J150" t="inlineStr">
        <is>
          <t/>
        </is>
      </c>
      <c r="K150" t="inlineStr">
        <is>
          <t/>
        </is>
      </c>
      <c r="L150" t="inlineStr">
        <is>
          <t/>
        </is>
      </c>
      <c r="M150" t="inlineStr">
        <is>
          <t/>
        </is>
      </c>
      <c r="N150" t="inlineStr">
        <is>
          <t/>
        </is>
      </c>
      <c r="O150" t="inlineStr">
        <is>
          <t/>
        </is>
      </c>
      <c r="P150">
        <f>IF(F150="","",IF(G150=XLOOKUP(F150,'Task Scoring Key'!$A:$A,'Task Scoring Key'!$C:$C,""),2,IF(G150=XLOOKUP(F150,'Task Scoring Key'!$A:$A,'Task Scoring Key'!$D:$D,""),1,0)))</f>
      </c>
      <c r="Q150">
        <f>IF(F150="","",IF(H150=XLOOKUP(F150,'Task Scoring Key'!$A:$A,'Task Scoring Key'!$E:$E,""),1,0))</f>
      </c>
      <c r="R150">
        <f>IF(COUNTA(K150:M150)=0,"",AVERAGE(K150:M150))</f>
      </c>
    </row>
    <row r="151">
      <c r="A151" t="inlineStr">
        <is>
          <t/>
        </is>
      </c>
      <c r="B151" t="inlineStr">
        <is>
          <t/>
        </is>
      </c>
      <c r="C151" t="inlineStr">
        <is>
          <t/>
        </is>
      </c>
      <c r="D151" t="inlineStr">
        <is>
          <t/>
        </is>
      </c>
      <c r="E151" t="inlineStr">
        <is>
          <t/>
        </is>
      </c>
      <c r="F151" t="inlineStr">
        <is>
          <t/>
        </is>
      </c>
      <c r="G151" t="inlineStr">
        <is>
          <t/>
        </is>
      </c>
      <c r="H151" t="inlineStr">
        <is>
          <t/>
        </is>
      </c>
      <c r="I151" t="inlineStr">
        <is>
          <t/>
        </is>
      </c>
      <c r="J151" t="inlineStr">
        <is>
          <t/>
        </is>
      </c>
      <c r="K151" t="inlineStr">
        <is>
          <t/>
        </is>
      </c>
      <c r="L151" t="inlineStr">
        <is>
          <t/>
        </is>
      </c>
      <c r="M151" t="inlineStr">
        <is>
          <t/>
        </is>
      </c>
      <c r="N151" t="inlineStr">
        <is>
          <t/>
        </is>
      </c>
      <c r="O151" t="inlineStr">
        <is>
          <t/>
        </is>
      </c>
      <c r="P151">
        <f>IF(F151="","",IF(G151=XLOOKUP(F151,'Task Scoring Key'!$A:$A,'Task Scoring Key'!$C:$C,""),2,IF(G151=XLOOKUP(F151,'Task Scoring Key'!$A:$A,'Task Scoring Key'!$D:$D,""),1,0)))</f>
      </c>
      <c r="Q151">
        <f>IF(F151="","",IF(H151=XLOOKUP(F151,'Task Scoring Key'!$A:$A,'Task Scoring Key'!$E:$E,""),1,0))</f>
      </c>
      <c r="R151">
        <f>IF(COUNTA(K151:M151)=0,"",AVERAGE(K151:M151))</f>
      </c>
    </row>
    <row r="152">
      <c r="A152" t="inlineStr">
        <is>
          <t/>
        </is>
      </c>
      <c r="B152" t="inlineStr">
        <is>
          <t/>
        </is>
      </c>
      <c r="C152" t="inlineStr">
        <is>
          <t/>
        </is>
      </c>
      <c r="D152" t="inlineStr">
        <is>
          <t/>
        </is>
      </c>
      <c r="E152" t="inlineStr">
        <is>
          <t/>
        </is>
      </c>
      <c r="F152" t="inlineStr">
        <is>
          <t/>
        </is>
      </c>
      <c r="G152" t="inlineStr">
        <is>
          <t/>
        </is>
      </c>
      <c r="H152" t="inlineStr">
        <is>
          <t/>
        </is>
      </c>
      <c r="I152" t="inlineStr">
        <is>
          <t/>
        </is>
      </c>
      <c r="J152" t="inlineStr">
        <is>
          <t/>
        </is>
      </c>
      <c r="K152" t="inlineStr">
        <is>
          <t/>
        </is>
      </c>
      <c r="L152" t="inlineStr">
        <is>
          <t/>
        </is>
      </c>
      <c r="M152" t="inlineStr">
        <is>
          <t/>
        </is>
      </c>
      <c r="N152" t="inlineStr">
        <is>
          <t/>
        </is>
      </c>
      <c r="O152" t="inlineStr">
        <is>
          <t/>
        </is>
      </c>
      <c r="P152">
        <f>IF(F152="","",IF(G152=XLOOKUP(F152,'Task Scoring Key'!$A:$A,'Task Scoring Key'!$C:$C,""),2,IF(G152=XLOOKUP(F152,'Task Scoring Key'!$A:$A,'Task Scoring Key'!$D:$D,""),1,0)))</f>
      </c>
      <c r="Q152">
        <f>IF(F152="","",IF(H152=XLOOKUP(F152,'Task Scoring Key'!$A:$A,'Task Scoring Key'!$E:$E,""),1,0))</f>
      </c>
      <c r="R152">
        <f>IF(COUNTA(K152:M152)=0,"",AVERAGE(K152:M152))</f>
      </c>
    </row>
    <row r="153">
      <c r="A153" t="inlineStr">
        <is>
          <t/>
        </is>
      </c>
      <c r="B153" t="inlineStr">
        <is>
          <t/>
        </is>
      </c>
      <c r="C153" t="inlineStr">
        <is>
          <t/>
        </is>
      </c>
      <c r="D153" t="inlineStr">
        <is>
          <t/>
        </is>
      </c>
      <c r="E153" t="inlineStr">
        <is>
          <t/>
        </is>
      </c>
      <c r="F153" t="inlineStr">
        <is>
          <t/>
        </is>
      </c>
      <c r="G153" t="inlineStr">
        <is>
          <t/>
        </is>
      </c>
      <c r="H153" t="inlineStr">
        <is>
          <t/>
        </is>
      </c>
      <c r="I153" t="inlineStr">
        <is>
          <t/>
        </is>
      </c>
      <c r="J153" t="inlineStr">
        <is>
          <t/>
        </is>
      </c>
      <c r="K153" t="inlineStr">
        <is>
          <t/>
        </is>
      </c>
      <c r="L153" t="inlineStr">
        <is>
          <t/>
        </is>
      </c>
      <c r="M153" t="inlineStr">
        <is>
          <t/>
        </is>
      </c>
      <c r="N153" t="inlineStr">
        <is>
          <t/>
        </is>
      </c>
      <c r="O153" t="inlineStr">
        <is>
          <t/>
        </is>
      </c>
      <c r="P153">
        <f>IF(F153="","",IF(G153=XLOOKUP(F153,'Task Scoring Key'!$A:$A,'Task Scoring Key'!$C:$C,""),2,IF(G153=XLOOKUP(F153,'Task Scoring Key'!$A:$A,'Task Scoring Key'!$D:$D,""),1,0)))</f>
      </c>
      <c r="Q153">
        <f>IF(F153="","",IF(H153=XLOOKUP(F153,'Task Scoring Key'!$A:$A,'Task Scoring Key'!$E:$E,""),1,0))</f>
      </c>
      <c r="R153">
        <f>IF(COUNTA(K153:M153)=0,"",AVERAGE(K153:M153))</f>
      </c>
    </row>
    <row r="154">
      <c r="A154" t="inlineStr">
        <is>
          <t/>
        </is>
      </c>
      <c r="B154" t="inlineStr">
        <is>
          <t/>
        </is>
      </c>
      <c r="C154" t="inlineStr">
        <is>
          <t/>
        </is>
      </c>
      <c r="D154" t="inlineStr">
        <is>
          <t/>
        </is>
      </c>
      <c r="E154" t="inlineStr">
        <is>
          <t/>
        </is>
      </c>
      <c r="F154" t="inlineStr">
        <is>
          <t/>
        </is>
      </c>
      <c r="G154" t="inlineStr">
        <is>
          <t/>
        </is>
      </c>
      <c r="H154" t="inlineStr">
        <is>
          <t/>
        </is>
      </c>
      <c r="I154" t="inlineStr">
        <is>
          <t/>
        </is>
      </c>
      <c r="J154" t="inlineStr">
        <is>
          <t/>
        </is>
      </c>
      <c r="K154" t="inlineStr">
        <is>
          <t/>
        </is>
      </c>
      <c r="L154" t="inlineStr">
        <is>
          <t/>
        </is>
      </c>
      <c r="M154" t="inlineStr">
        <is>
          <t/>
        </is>
      </c>
      <c r="N154" t="inlineStr">
        <is>
          <t/>
        </is>
      </c>
      <c r="O154" t="inlineStr">
        <is>
          <t/>
        </is>
      </c>
      <c r="P154">
        <f>IF(F154="","",IF(G154=XLOOKUP(F154,'Task Scoring Key'!$A:$A,'Task Scoring Key'!$C:$C,""),2,IF(G154=XLOOKUP(F154,'Task Scoring Key'!$A:$A,'Task Scoring Key'!$D:$D,""),1,0)))</f>
      </c>
      <c r="Q154">
        <f>IF(F154="","",IF(H154=XLOOKUP(F154,'Task Scoring Key'!$A:$A,'Task Scoring Key'!$E:$E,""),1,0))</f>
      </c>
      <c r="R154">
        <f>IF(COUNTA(K154:M154)=0,"",AVERAGE(K154:M154))</f>
      </c>
    </row>
    <row r="155">
      <c r="A155" t="inlineStr">
        <is>
          <t/>
        </is>
      </c>
      <c r="B155" t="inlineStr">
        <is>
          <t/>
        </is>
      </c>
      <c r="C155" t="inlineStr">
        <is>
          <t/>
        </is>
      </c>
      <c r="D155" t="inlineStr">
        <is>
          <t/>
        </is>
      </c>
      <c r="E155" t="inlineStr">
        <is>
          <t/>
        </is>
      </c>
      <c r="F155" t="inlineStr">
        <is>
          <t/>
        </is>
      </c>
      <c r="G155" t="inlineStr">
        <is>
          <t/>
        </is>
      </c>
      <c r="H155" t="inlineStr">
        <is>
          <t/>
        </is>
      </c>
      <c r="I155" t="inlineStr">
        <is>
          <t/>
        </is>
      </c>
      <c r="J155" t="inlineStr">
        <is>
          <t/>
        </is>
      </c>
      <c r="K155" t="inlineStr">
        <is>
          <t/>
        </is>
      </c>
      <c r="L155" t="inlineStr">
        <is>
          <t/>
        </is>
      </c>
      <c r="M155" t="inlineStr">
        <is>
          <t/>
        </is>
      </c>
      <c r="N155" t="inlineStr">
        <is>
          <t/>
        </is>
      </c>
      <c r="O155" t="inlineStr">
        <is>
          <t/>
        </is>
      </c>
      <c r="P155">
        <f>IF(F155="","",IF(G155=XLOOKUP(F155,'Task Scoring Key'!$A:$A,'Task Scoring Key'!$C:$C,""),2,IF(G155=XLOOKUP(F155,'Task Scoring Key'!$A:$A,'Task Scoring Key'!$D:$D,""),1,0)))</f>
      </c>
      <c r="Q155">
        <f>IF(F155="","",IF(H155=XLOOKUP(F155,'Task Scoring Key'!$A:$A,'Task Scoring Key'!$E:$E,""),1,0))</f>
      </c>
      <c r="R155">
        <f>IF(COUNTA(K155:M155)=0,"",AVERAGE(K155:M155))</f>
      </c>
    </row>
    <row r="156">
      <c r="A156" t="inlineStr">
        <is>
          <t/>
        </is>
      </c>
      <c r="B156" t="inlineStr">
        <is>
          <t/>
        </is>
      </c>
      <c r="C156" t="inlineStr">
        <is>
          <t/>
        </is>
      </c>
      <c r="D156" t="inlineStr">
        <is>
          <t/>
        </is>
      </c>
      <c r="E156" t="inlineStr">
        <is>
          <t/>
        </is>
      </c>
      <c r="F156" t="inlineStr">
        <is>
          <t/>
        </is>
      </c>
      <c r="G156" t="inlineStr">
        <is>
          <t/>
        </is>
      </c>
      <c r="H156" t="inlineStr">
        <is>
          <t/>
        </is>
      </c>
      <c r="I156" t="inlineStr">
        <is>
          <t/>
        </is>
      </c>
      <c r="J156" t="inlineStr">
        <is>
          <t/>
        </is>
      </c>
      <c r="K156" t="inlineStr">
        <is>
          <t/>
        </is>
      </c>
      <c r="L156" t="inlineStr">
        <is>
          <t/>
        </is>
      </c>
      <c r="M156" t="inlineStr">
        <is>
          <t/>
        </is>
      </c>
      <c r="N156" t="inlineStr">
        <is>
          <t/>
        </is>
      </c>
      <c r="O156" t="inlineStr">
        <is>
          <t/>
        </is>
      </c>
      <c r="P156">
        <f>IF(F156="","",IF(G156=XLOOKUP(F156,'Task Scoring Key'!$A:$A,'Task Scoring Key'!$C:$C,""),2,IF(G156=XLOOKUP(F156,'Task Scoring Key'!$A:$A,'Task Scoring Key'!$D:$D,""),1,0)))</f>
      </c>
      <c r="Q156">
        <f>IF(F156="","",IF(H156=XLOOKUP(F156,'Task Scoring Key'!$A:$A,'Task Scoring Key'!$E:$E,""),1,0))</f>
      </c>
      <c r="R156">
        <f>IF(COUNTA(K156:M156)=0,"",AVERAGE(K156:M156))</f>
      </c>
    </row>
    <row r="157">
      <c r="A157" t="inlineStr">
        <is>
          <t/>
        </is>
      </c>
      <c r="B157" t="inlineStr">
        <is>
          <t/>
        </is>
      </c>
      <c r="C157" t="inlineStr">
        <is>
          <t/>
        </is>
      </c>
      <c r="D157" t="inlineStr">
        <is>
          <t/>
        </is>
      </c>
      <c r="E157" t="inlineStr">
        <is>
          <t/>
        </is>
      </c>
      <c r="F157" t="inlineStr">
        <is>
          <t/>
        </is>
      </c>
      <c r="G157" t="inlineStr">
        <is>
          <t/>
        </is>
      </c>
      <c r="H157" t="inlineStr">
        <is>
          <t/>
        </is>
      </c>
      <c r="I157" t="inlineStr">
        <is>
          <t/>
        </is>
      </c>
      <c r="J157" t="inlineStr">
        <is>
          <t/>
        </is>
      </c>
      <c r="K157" t="inlineStr">
        <is>
          <t/>
        </is>
      </c>
      <c r="L157" t="inlineStr">
        <is>
          <t/>
        </is>
      </c>
      <c r="M157" t="inlineStr">
        <is>
          <t/>
        </is>
      </c>
      <c r="N157" t="inlineStr">
        <is>
          <t/>
        </is>
      </c>
      <c r="O157" t="inlineStr">
        <is>
          <t/>
        </is>
      </c>
      <c r="P157">
        <f>IF(F157="","",IF(G157=XLOOKUP(F157,'Task Scoring Key'!$A:$A,'Task Scoring Key'!$C:$C,""),2,IF(G157=XLOOKUP(F157,'Task Scoring Key'!$A:$A,'Task Scoring Key'!$D:$D,""),1,0)))</f>
      </c>
      <c r="Q157">
        <f>IF(F157="","",IF(H157=XLOOKUP(F157,'Task Scoring Key'!$A:$A,'Task Scoring Key'!$E:$E,""),1,0))</f>
      </c>
      <c r="R157">
        <f>IF(COUNTA(K157:M157)=0,"",AVERAGE(K157:M157))</f>
      </c>
    </row>
    <row r="158">
      <c r="A158" t="inlineStr">
        <is>
          <t/>
        </is>
      </c>
      <c r="B158" t="inlineStr">
        <is>
          <t/>
        </is>
      </c>
      <c r="C158" t="inlineStr">
        <is>
          <t/>
        </is>
      </c>
      <c r="D158" t="inlineStr">
        <is>
          <t/>
        </is>
      </c>
      <c r="E158" t="inlineStr">
        <is>
          <t/>
        </is>
      </c>
      <c r="F158" t="inlineStr">
        <is>
          <t/>
        </is>
      </c>
      <c r="G158" t="inlineStr">
        <is>
          <t/>
        </is>
      </c>
      <c r="H158" t="inlineStr">
        <is>
          <t/>
        </is>
      </c>
      <c r="I158" t="inlineStr">
        <is>
          <t/>
        </is>
      </c>
      <c r="J158" t="inlineStr">
        <is>
          <t/>
        </is>
      </c>
      <c r="K158" t="inlineStr">
        <is>
          <t/>
        </is>
      </c>
      <c r="L158" t="inlineStr">
        <is>
          <t/>
        </is>
      </c>
      <c r="M158" t="inlineStr">
        <is>
          <t/>
        </is>
      </c>
      <c r="N158" t="inlineStr">
        <is>
          <t/>
        </is>
      </c>
      <c r="O158" t="inlineStr">
        <is>
          <t/>
        </is>
      </c>
      <c r="P158">
        <f>IF(F158="","",IF(G158=XLOOKUP(F158,'Task Scoring Key'!$A:$A,'Task Scoring Key'!$C:$C,""),2,IF(G158=XLOOKUP(F158,'Task Scoring Key'!$A:$A,'Task Scoring Key'!$D:$D,""),1,0)))</f>
      </c>
      <c r="Q158">
        <f>IF(F158="","",IF(H158=XLOOKUP(F158,'Task Scoring Key'!$A:$A,'Task Scoring Key'!$E:$E,""),1,0))</f>
      </c>
      <c r="R158">
        <f>IF(COUNTA(K158:M158)=0,"",AVERAGE(K158:M158))</f>
      </c>
    </row>
    <row r="159">
      <c r="A159" t="inlineStr">
        <is>
          <t/>
        </is>
      </c>
      <c r="B159" t="inlineStr">
        <is>
          <t/>
        </is>
      </c>
      <c r="C159" t="inlineStr">
        <is>
          <t/>
        </is>
      </c>
      <c r="D159" t="inlineStr">
        <is>
          <t/>
        </is>
      </c>
      <c r="E159" t="inlineStr">
        <is>
          <t/>
        </is>
      </c>
      <c r="F159" t="inlineStr">
        <is>
          <t/>
        </is>
      </c>
      <c r="G159" t="inlineStr">
        <is>
          <t/>
        </is>
      </c>
      <c r="H159" t="inlineStr">
        <is>
          <t/>
        </is>
      </c>
      <c r="I159" t="inlineStr">
        <is>
          <t/>
        </is>
      </c>
      <c r="J159" t="inlineStr">
        <is>
          <t/>
        </is>
      </c>
      <c r="K159" t="inlineStr">
        <is>
          <t/>
        </is>
      </c>
      <c r="L159" t="inlineStr">
        <is>
          <t/>
        </is>
      </c>
      <c r="M159" t="inlineStr">
        <is>
          <t/>
        </is>
      </c>
      <c r="N159" t="inlineStr">
        <is>
          <t/>
        </is>
      </c>
      <c r="O159" t="inlineStr">
        <is>
          <t/>
        </is>
      </c>
      <c r="P159">
        <f>IF(F159="","",IF(G159=XLOOKUP(F159,'Task Scoring Key'!$A:$A,'Task Scoring Key'!$C:$C,""),2,IF(G159=XLOOKUP(F159,'Task Scoring Key'!$A:$A,'Task Scoring Key'!$D:$D,""),1,0)))</f>
      </c>
      <c r="Q159">
        <f>IF(F159="","",IF(H159=XLOOKUP(F159,'Task Scoring Key'!$A:$A,'Task Scoring Key'!$E:$E,""),1,0))</f>
      </c>
      <c r="R159">
        <f>IF(COUNTA(K159:M159)=0,"",AVERAGE(K159:M159))</f>
      </c>
    </row>
    <row r="160">
      <c r="A160" t="inlineStr">
        <is>
          <t/>
        </is>
      </c>
      <c r="B160" t="inlineStr">
        <is>
          <t/>
        </is>
      </c>
      <c r="C160" t="inlineStr">
        <is>
          <t/>
        </is>
      </c>
      <c r="D160" t="inlineStr">
        <is>
          <t/>
        </is>
      </c>
      <c r="E160" t="inlineStr">
        <is>
          <t/>
        </is>
      </c>
      <c r="F160" t="inlineStr">
        <is>
          <t/>
        </is>
      </c>
      <c r="G160" t="inlineStr">
        <is>
          <t/>
        </is>
      </c>
      <c r="H160" t="inlineStr">
        <is>
          <t/>
        </is>
      </c>
      <c r="I160" t="inlineStr">
        <is>
          <t/>
        </is>
      </c>
      <c r="J160" t="inlineStr">
        <is>
          <t/>
        </is>
      </c>
      <c r="K160" t="inlineStr">
        <is>
          <t/>
        </is>
      </c>
      <c r="L160" t="inlineStr">
        <is>
          <t/>
        </is>
      </c>
      <c r="M160" t="inlineStr">
        <is>
          <t/>
        </is>
      </c>
      <c r="N160" t="inlineStr">
        <is>
          <t/>
        </is>
      </c>
      <c r="O160" t="inlineStr">
        <is>
          <t/>
        </is>
      </c>
      <c r="P160">
        <f>IF(F160="","",IF(G160=XLOOKUP(F160,'Task Scoring Key'!$A:$A,'Task Scoring Key'!$C:$C,""),2,IF(G160=XLOOKUP(F160,'Task Scoring Key'!$A:$A,'Task Scoring Key'!$D:$D,""),1,0)))</f>
      </c>
      <c r="Q160">
        <f>IF(F160="","",IF(H160=XLOOKUP(F160,'Task Scoring Key'!$A:$A,'Task Scoring Key'!$E:$E,""),1,0))</f>
      </c>
      <c r="R160">
        <f>IF(COUNTA(K160:M160)=0,"",AVERAGE(K160:M160))</f>
      </c>
    </row>
    <row r="161">
      <c r="A161" t="inlineStr">
        <is>
          <t/>
        </is>
      </c>
      <c r="B161" t="inlineStr">
        <is>
          <t/>
        </is>
      </c>
      <c r="C161" t="inlineStr">
        <is>
          <t/>
        </is>
      </c>
      <c r="D161" t="inlineStr">
        <is>
          <t/>
        </is>
      </c>
      <c r="E161" t="inlineStr">
        <is>
          <t/>
        </is>
      </c>
      <c r="F161" t="inlineStr">
        <is>
          <t/>
        </is>
      </c>
      <c r="G161" t="inlineStr">
        <is>
          <t/>
        </is>
      </c>
      <c r="H161" t="inlineStr">
        <is>
          <t/>
        </is>
      </c>
      <c r="I161" t="inlineStr">
        <is>
          <t/>
        </is>
      </c>
      <c r="J161" t="inlineStr">
        <is>
          <t/>
        </is>
      </c>
      <c r="K161" t="inlineStr">
        <is>
          <t/>
        </is>
      </c>
      <c r="L161" t="inlineStr">
        <is>
          <t/>
        </is>
      </c>
      <c r="M161" t="inlineStr">
        <is>
          <t/>
        </is>
      </c>
      <c r="N161" t="inlineStr">
        <is>
          <t/>
        </is>
      </c>
      <c r="O161" t="inlineStr">
        <is>
          <t/>
        </is>
      </c>
      <c r="P161">
        <f>IF(F161="","",IF(G161=XLOOKUP(F161,'Task Scoring Key'!$A:$A,'Task Scoring Key'!$C:$C,""),2,IF(G161=XLOOKUP(F161,'Task Scoring Key'!$A:$A,'Task Scoring Key'!$D:$D,""),1,0)))</f>
      </c>
      <c r="Q161">
        <f>IF(F161="","",IF(H161=XLOOKUP(F161,'Task Scoring Key'!$A:$A,'Task Scoring Key'!$E:$E,""),1,0))</f>
      </c>
      <c r="R161">
        <f>IF(COUNTA(K161:M161)=0,"",AVERAGE(K161:M161))</f>
      </c>
    </row>
    <row r="162">
      <c r="A162" t="inlineStr">
        <is>
          <t/>
        </is>
      </c>
      <c r="B162" t="inlineStr">
        <is>
          <t/>
        </is>
      </c>
      <c r="C162" t="inlineStr">
        <is>
          <t/>
        </is>
      </c>
      <c r="D162" t="inlineStr">
        <is>
          <t/>
        </is>
      </c>
      <c r="E162" t="inlineStr">
        <is>
          <t/>
        </is>
      </c>
      <c r="F162" t="inlineStr">
        <is>
          <t/>
        </is>
      </c>
      <c r="G162" t="inlineStr">
        <is>
          <t/>
        </is>
      </c>
      <c r="H162" t="inlineStr">
        <is>
          <t/>
        </is>
      </c>
      <c r="I162" t="inlineStr">
        <is>
          <t/>
        </is>
      </c>
      <c r="J162" t="inlineStr">
        <is>
          <t/>
        </is>
      </c>
      <c r="K162" t="inlineStr">
        <is>
          <t/>
        </is>
      </c>
      <c r="L162" t="inlineStr">
        <is>
          <t/>
        </is>
      </c>
      <c r="M162" t="inlineStr">
        <is>
          <t/>
        </is>
      </c>
      <c r="N162" t="inlineStr">
        <is>
          <t/>
        </is>
      </c>
      <c r="O162" t="inlineStr">
        <is>
          <t/>
        </is>
      </c>
      <c r="P162">
        <f>IF(F162="","",IF(G162=XLOOKUP(F162,'Task Scoring Key'!$A:$A,'Task Scoring Key'!$C:$C,""),2,IF(G162=XLOOKUP(F162,'Task Scoring Key'!$A:$A,'Task Scoring Key'!$D:$D,""),1,0)))</f>
      </c>
      <c r="Q162">
        <f>IF(F162="","",IF(H162=XLOOKUP(F162,'Task Scoring Key'!$A:$A,'Task Scoring Key'!$E:$E,""),1,0))</f>
      </c>
      <c r="R162">
        <f>IF(COUNTA(K162:M162)=0,"",AVERAGE(K162:M162))</f>
      </c>
    </row>
    <row r="163">
      <c r="A163" t="inlineStr">
        <is>
          <t/>
        </is>
      </c>
      <c r="B163" t="inlineStr">
        <is>
          <t/>
        </is>
      </c>
      <c r="C163" t="inlineStr">
        <is>
          <t/>
        </is>
      </c>
      <c r="D163" t="inlineStr">
        <is>
          <t/>
        </is>
      </c>
      <c r="E163" t="inlineStr">
        <is>
          <t/>
        </is>
      </c>
      <c r="F163" t="inlineStr">
        <is>
          <t/>
        </is>
      </c>
      <c r="G163" t="inlineStr">
        <is>
          <t/>
        </is>
      </c>
      <c r="H163" t="inlineStr">
        <is>
          <t/>
        </is>
      </c>
      <c r="I163" t="inlineStr">
        <is>
          <t/>
        </is>
      </c>
      <c r="J163" t="inlineStr">
        <is>
          <t/>
        </is>
      </c>
      <c r="K163" t="inlineStr">
        <is>
          <t/>
        </is>
      </c>
      <c r="L163" t="inlineStr">
        <is>
          <t/>
        </is>
      </c>
      <c r="M163" t="inlineStr">
        <is>
          <t/>
        </is>
      </c>
      <c r="N163" t="inlineStr">
        <is>
          <t/>
        </is>
      </c>
      <c r="O163" t="inlineStr">
        <is>
          <t/>
        </is>
      </c>
      <c r="P163">
        <f>IF(F163="","",IF(G163=XLOOKUP(F163,'Task Scoring Key'!$A:$A,'Task Scoring Key'!$C:$C,""),2,IF(G163=XLOOKUP(F163,'Task Scoring Key'!$A:$A,'Task Scoring Key'!$D:$D,""),1,0)))</f>
      </c>
      <c r="Q163">
        <f>IF(F163="","",IF(H163=XLOOKUP(F163,'Task Scoring Key'!$A:$A,'Task Scoring Key'!$E:$E,""),1,0))</f>
      </c>
      <c r="R163">
        <f>IF(COUNTA(K163:M163)=0,"",AVERAGE(K163:M163))</f>
      </c>
    </row>
    <row r="164">
      <c r="A164" t="inlineStr">
        <is>
          <t/>
        </is>
      </c>
      <c r="B164" t="inlineStr">
        <is>
          <t/>
        </is>
      </c>
      <c r="C164" t="inlineStr">
        <is>
          <t/>
        </is>
      </c>
      <c r="D164" t="inlineStr">
        <is>
          <t/>
        </is>
      </c>
      <c r="E164" t="inlineStr">
        <is>
          <t/>
        </is>
      </c>
      <c r="F164" t="inlineStr">
        <is>
          <t/>
        </is>
      </c>
      <c r="G164" t="inlineStr">
        <is>
          <t/>
        </is>
      </c>
      <c r="H164" t="inlineStr">
        <is>
          <t/>
        </is>
      </c>
      <c r="I164" t="inlineStr">
        <is>
          <t/>
        </is>
      </c>
      <c r="J164" t="inlineStr">
        <is>
          <t/>
        </is>
      </c>
      <c r="K164" t="inlineStr">
        <is>
          <t/>
        </is>
      </c>
      <c r="L164" t="inlineStr">
        <is>
          <t/>
        </is>
      </c>
      <c r="M164" t="inlineStr">
        <is>
          <t/>
        </is>
      </c>
      <c r="N164" t="inlineStr">
        <is>
          <t/>
        </is>
      </c>
      <c r="O164" t="inlineStr">
        <is>
          <t/>
        </is>
      </c>
      <c r="P164">
        <f>IF(F164="","",IF(G164=XLOOKUP(F164,'Task Scoring Key'!$A:$A,'Task Scoring Key'!$C:$C,""),2,IF(G164=XLOOKUP(F164,'Task Scoring Key'!$A:$A,'Task Scoring Key'!$D:$D,""),1,0)))</f>
      </c>
      <c r="Q164">
        <f>IF(F164="","",IF(H164=XLOOKUP(F164,'Task Scoring Key'!$A:$A,'Task Scoring Key'!$E:$E,""),1,0))</f>
      </c>
      <c r="R164">
        <f>IF(COUNTA(K164:M164)=0,"",AVERAGE(K164:M164))</f>
      </c>
    </row>
    <row r="165">
      <c r="A165" t="inlineStr">
        <is>
          <t/>
        </is>
      </c>
      <c r="B165" t="inlineStr">
        <is>
          <t/>
        </is>
      </c>
      <c r="C165" t="inlineStr">
        <is>
          <t/>
        </is>
      </c>
      <c r="D165" t="inlineStr">
        <is>
          <t/>
        </is>
      </c>
      <c r="E165" t="inlineStr">
        <is>
          <t/>
        </is>
      </c>
      <c r="F165" t="inlineStr">
        <is>
          <t/>
        </is>
      </c>
      <c r="G165" t="inlineStr">
        <is>
          <t/>
        </is>
      </c>
      <c r="H165" t="inlineStr">
        <is>
          <t/>
        </is>
      </c>
      <c r="I165" t="inlineStr">
        <is>
          <t/>
        </is>
      </c>
      <c r="J165" t="inlineStr">
        <is>
          <t/>
        </is>
      </c>
      <c r="K165" t="inlineStr">
        <is>
          <t/>
        </is>
      </c>
      <c r="L165" t="inlineStr">
        <is>
          <t/>
        </is>
      </c>
      <c r="M165" t="inlineStr">
        <is>
          <t/>
        </is>
      </c>
      <c r="N165" t="inlineStr">
        <is>
          <t/>
        </is>
      </c>
      <c r="O165" t="inlineStr">
        <is>
          <t/>
        </is>
      </c>
      <c r="P165">
        <f>IF(F165="","",IF(G165=XLOOKUP(F165,'Task Scoring Key'!$A:$A,'Task Scoring Key'!$C:$C,""),2,IF(G165=XLOOKUP(F165,'Task Scoring Key'!$A:$A,'Task Scoring Key'!$D:$D,""),1,0)))</f>
      </c>
      <c r="Q165">
        <f>IF(F165="","",IF(H165=XLOOKUP(F165,'Task Scoring Key'!$A:$A,'Task Scoring Key'!$E:$E,""),1,0))</f>
      </c>
      <c r="R165">
        <f>IF(COUNTA(K165:M165)=0,"",AVERAGE(K165:M165))</f>
      </c>
    </row>
    <row r="166">
      <c r="A166" t="inlineStr">
        <is>
          <t/>
        </is>
      </c>
      <c r="B166" t="inlineStr">
        <is>
          <t/>
        </is>
      </c>
      <c r="C166" t="inlineStr">
        <is>
          <t/>
        </is>
      </c>
      <c r="D166" t="inlineStr">
        <is>
          <t/>
        </is>
      </c>
      <c r="E166" t="inlineStr">
        <is>
          <t/>
        </is>
      </c>
      <c r="F166" t="inlineStr">
        <is>
          <t/>
        </is>
      </c>
      <c r="G166" t="inlineStr">
        <is>
          <t/>
        </is>
      </c>
      <c r="H166" t="inlineStr">
        <is>
          <t/>
        </is>
      </c>
      <c r="I166" t="inlineStr">
        <is>
          <t/>
        </is>
      </c>
      <c r="J166" t="inlineStr">
        <is>
          <t/>
        </is>
      </c>
      <c r="K166" t="inlineStr">
        <is>
          <t/>
        </is>
      </c>
      <c r="L166" t="inlineStr">
        <is>
          <t/>
        </is>
      </c>
      <c r="M166" t="inlineStr">
        <is>
          <t/>
        </is>
      </c>
      <c r="N166" t="inlineStr">
        <is>
          <t/>
        </is>
      </c>
      <c r="O166" t="inlineStr">
        <is>
          <t/>
        </is>
      </c>
      <c r="P166">
        <f>IF(F166="","",IF(G166=XLOOKUP(F166,'Task Scoring Key'!$A:$A,'Task Scoring Key'!$C:$C,""),2,IF(G166=XLOOKUP(F166,'Task Scoring Key'!$A:$A,'Task Scoring Key'!$D:$D,""),1,0)))</f>
      </c>
      <c r="Q166">
        <f>IF(F166="","",IF(H166=XLOOKUP(F166,'Task Scoring Key'!$A:$A,'Task Scoring Key'!$E:$E,""),1,0))</f>
      </c>
      <c r="R166">
        <f>IF(COUNTA(K166:M166)=0,"",AVERAGE(K166:M166))</f>
      </c>
    </row>
    <row r="167">
      <c r="A167" t="inlineStr">
        <is>
          <t/>
        </is>
      </c>
      <c r="B167" t="inlineStr">
        <is>
          <t/>
        </is>
      </c>
      <c r="C167" t="inlineStr">
        <is>
          <t/>
        </is>
      </c>
      <c r="D167" t="inlineStr">
        <is>
          <t/>
        </is>
      </c>
      <c r="E167" t="inlineStr">
        <is>
          <t/>
        </is>
      </c>
      <c r="F167" t="inlineStr">
        <is>
          <t/>
        </is>
      </c>
      <c r="G167" t="inlineStr">
        <is>
          <t/>
        </is>
      </c>
      <c r="H167" t="inlineStr">
        <is>
          <t/>
        </is>
      </c>
      <c r="I167" t="inlineStr">
        <is>
          <t/>
        </is>
      </c>
      <c r="J167" t="inlineStr">
        <is>
          <t/>
        </is>
      </c>
      <c r="K167" t="inlineStr">
        <is>
          <t/>
        </is>
      </c>
      <c r="L167" t="inlineStr">
        <is>
          <t/>
        </is>
      </c>
      <c r="M167" t="inlineStr">
        <is>
          <t/>
        </is>
      </c>
      <c r="N167" t="inlineStr">
        <is>
          <t/>
        </is>
      </c>
      <c r="O167" t="inlineStr">
        <is>
          <t/>
        </is>
      </c>
      <c r="P167">
        <f>IF(F167="","",IF(G167=XLOOKUP(F167,'Task Scoring Key'!$A:$A,'Task Scoring Key'!$C:$C,""),2,IF(G167=XLOOKUP(F167,'Task Scoring Key'!$A:$A,'Task Scoring Key'!$D:$D,""),1,0)))</f>
      </c>
      <c r="Q167">
        <f>IF(F167="","",IF(H167=XLOOKUP(F167,'Task Scoring Key'!$A:$A,'Task Scoring Key'!$E:$E,""),1,0))</f>
      </c>
      <c r="R167">
        <f>IF(COUNTA(K167:M167)=0,"",AVERAGE(K167:M167))</f>
      </c>
    </row>
    <row r="168">
      <c r="A168" t="inlineStr">
        <is>
          <t/>
        </is>
      </c>
      <c r="B168" t="inlineStr">
        <is>
          <t/>
        </is>
      </c>
      <c r="C168" t="inlineStr">
        <is>
          <t/>
        </is>
      </c>
      <c r="D168" t="inlineStr">
        <is>
          <t/>
        </is>
      </c>
      <c r="E168" t="inlineStr">
        <is>
          <t/>
        </is>
      </c>
      <c r="F168" t="inlineStr">
        <is>
          <t/>
        </is>
      </c>
      <c r="G168" t="inlineStr">
        <is>
          <t/>
        </is>
      </c>
      <c r="H168" t="inlineStr">
        <is>
          <t/>
        </is>
      </c>
      <c r="I168" t="inlineStr">
        <is>
          <t/>
        </is>
      </c>
      <c r="J168" t="inlineStr">
        <is>
          <t/>
        </is>
      </c>
      <c r="K168" t="inlineStr">
        <is>
          <t/>
        </is>
      </c>
      <c r="L168" t="inlineStr">
        <is>
          <t/>
        </is>
      </c>
      <c r="M168" t="inlineStr">
        <is>
          <t/>
        </is>
      </c>
      <c r="N168" t="inlineStr">
        <is>
          <t/>
        </is>
      </c>
      <c r="O168" t="inlineStr">
        <is>
          <t/>
        </is>
      </c>
      <c r="P168">
        <f>IF(F168="","",IF(G168=XLOOKUP(F168,'Task Scoring Key'!$A:$A,'Task Scoring Key'!$C:$C,""),2,IF(G168=XLOOKUP(F168,'Task Scoring Key'!$A:$A,'Task Scoring Key'!$D:$D,""),1,0)))</f>
      </c>
      <c r="Q168">
        <f>IF(F168="","",IF(H168=XLOOKUP(F168,'Task Scoring Key'!$A:$A,'Task Scoring Key'!$E:$E,""),1,0))</f>
      </c>
      <c r="R168">
        <f>IF(COUNTA(K168:M168)=0,"",AVERAGE(K168:M168))</f>
      </c>
    </row>
    <row r="169">
      <c r="A169" t="inlineStr">
        <is>
          <t/>
        </is>
      </c>
      <c r="B169" t="inlineStr">
        <is>
          <t/>
        </is>
      </c>
      <c r="C169" t="inlineStr">
        <is>
          <t/>
        </is>
      </c>
      <c r="D169" t="inlineStr">
        <is>
          <t/>
        </is>
      </c>
      <c r="E169" t="inlineStr">
        <is>
          <t/>
        </is>
      </c>
      <c r="F169" t="inlineStr">
        <is>
          <t/>
        </is>
      </c>
      <c r="G169" t="inlineStr">
        <is>
          <t/>
        </is>
      </c>
      <c r="H169" t="inlineStr">
        <is>
          <t/>
        </is>
      </c>
      <c r="I169" t="inlineStr">
        <is>
          <t/>
        </is>
      </c>
      <c r="J169" t="inlineStr">
        <is>
          <t/>
        </is>
      </c>
      <c r="K169" t="inlineStr">
        <is>
          <t/>
        </is>
      </c>
      <c r="L169" t="inlineStr">
        <is>
          <t/>
        </is>
      </c>
      <c r="M169" t="inlineStr">
        <is>
          <t/>
        </is>
      </c>
      <c r="N169" t="inlineStr">
        <is>
          <t/>
        </is>
      </c>
      <c r="O169" t="inlineStr">
        <is>
          <t/>
        </is>
      </c>
      <c r="P169">
        <f>IF(F169="","",IF(G169=XLOOKUP(F169,'Task Scoring Key'!$A:$A,'Task Scoring Key'!$C:$C,""),2,IF(G169=XLOOKUP(F169,'Task Scoring Key'!$A:$A,'Task Scoring Key'!$D:$D,""),1,0)))</f>
      </c>
      <c r="Q169">
        <f>IF(F169="","",IF(H169=XLOOKUP(F169,'Task Scoring Key'!$A:$A,'Task Scoring Key'!$E:$E,""),1,0))</f>
      </c>
      <c r="R169">
        <f>IF(COUNTA(K169:M169)=0,"",AVERAGE(K169:M169))</f>
      </c>
    </row>
    <row r="170">
      <c r="A170" t="inlineStr">
        <is>
          <t/>
        </is>
      </c>
      <c r="B170" t="inlineStr">
        <is>
          <t/>
        </is>
      </c>
      <c r="C170" t="inlineStr">
        <is>
          <t/>
        </is>
      </c>
      <c r="D170" t="inlineStr">
        <is>
          <t/>
        </is>
      </c>
      <c r="E170" t="inlineStr">
        <is>
          <t/>
        </is>
      </c>
      <c r="F170" t="inlineStr">
        <is>
          <t/>
        </is>
      </c>
      <c r="G170" t="inlineStr">
        <is>
          <t/>
        </is>
      </c>
      <c r="H170" t="inlineStr">
        <is>
          <t/>
        </is>
      </c>
      <c r="I170" t="inlineStr">
        <is>
          <t/>
        </is>
      </c>
      <c r="J170" t="inlineStr">
        <is>
          <t/>
        </is>
      </c>
      <c r="K170" t="inlineStr">
        <is>
          <t/>
        </is>
      </c>
      <c r="L170" t="inlineStr">
        <is>
          <t/>
        </is>
      </c>
      <c r="M170" t="inlineStr">
        <is>
          <t/>
        </is>
      </c>
      <c r="N170" t="inlineStr">
        <is>
          <t/>
        </is>
      </c>
      <c r="O170" t="inlineStr">
        <is>
          <t/>
        </is>
      </c>
      <c r="P170">
        <f>IF(F170="","",IF(G170=XLOOKUP(F170,'Task Scoring Key'!$A:$A,'Task Scoring Key'!$C:$C,""),2,IF(G170=XLOOKUP(F170,'Task Scoring Key'!$A:$A,'Task Scoring Key'!$D:$D,""),1,0)))</f>
      </c>
      <c r="Q170">
        <f>IF(F170="","",IF(H170=XLOOKUP(F170,'Task Scoring Key'!$A:$A,'Task Scoring Key'!$E:$E,""),1,0))</f>
      </c>
      <c r="R170">
        <f>IF(COUNTA(K170:M170)=0,"",AVERAGE(K170:M170))</f>
      </c>
    </row>
    <row r="171">
      <c r="A171" t="inlineStr">
        <is>
          <t/>
        </is>
      </c>
      <c r="B171" t="inlineStr">
        <is>
          <t/>
        </is>
      </c>
      <c r="C171" t="inlineStr">
        <is>
          <t/>
        </is>
      </c>
      <c r="D171" t="inlineStr">
        <is>
          <t/>
        </is>
      </c>
      <c r="E171" t="inlineStr">
        <is>
          <t/>
        </is>
      </c>
      <c r="F171" t="inlineStr">
        <is>
          <t/>
        </is>
      </c>
      <c r="G171" t="inlineStr">
        <is>
          <t/>
        </is>
      </c>
      <c r="H171" t="inlineStr">
        <is>
          <t/>
        </is>
      </c>
      <c r="I171" t="inlineStr">
        <is>
          <t/>
        </is>
      </c>
      <c r="J171" t="inlineStr">
        <is>
          <t/>
        </is>
      </c>
      <c r="K171" t="inlineStr">
        <is>
          <t/>
        </is>
      </c>
      <c r="L171" t="inlineStr">
        <is>
          <t/>
        </is>
      </c>
      <c r="M171" t="inlineStr">
        <is>
          <t/>
        </is>
      </c>
      <c r="N171" t="inlineStr">
        <is>
          <t/>
        </is>
      </c>
      <c r="O171" t="inlineStr">
        <is>
          <t/>
        </is>
      </c>
      <c r="P171">
        <f>IF(F171="","",IF(G171=XLOOKUP(F171,'Task Scoring Key'!$A:$A,'Task Scoring Key'!$C:$C,""),2,IF(G171=XLOOKUP(F171,'Task Scoring Key'!$A:$A,'Task Scoring Key'!$D:$D,""),1,0)))</f>
      </c>
      <c r="Q171">
        <f>IF(F171="","",IF(H171=XLOOKUP(F171,'Task Scoring Key'!$A:$A,'Task Scoring Key'!$E:$E,""),1,0))</f>
      </c>
      <c r="R171">
        <f>IF(COUNTA(K171:M171)=0,"",AVERAGE(K171:M171))</f>
      </c>
    </row>
    <row r="172">
      <c r="A172" t="inlineStr">
        <is>
          <t/>
        </is>
      </c>
      <c r="B172" t="inlineStr">
        <is>
          <t/>
        </is>
      </c>
      <c r="C172" t="inlineStr">
        <is>
          <t/>
        </is>
      </c>
      <c r="D172" t="inlineStr">
        <is>
          <t/>
        </is>
      </c>
      <c r="E172" t="inlineStr">
        <is>
          <t/>
        </is>
      </c>
      <c r="F172" t="inlineStr">
        <is>
          <t/>
        </is>
      </c>
      <c r="G172" t="inlineStr">
        <is>
          <t/>
        </is>
      </c>
      <c r="H172" t="inlineStr">
        <is>
          <t/>
        </is>
      </c>
      <c r="I172" t="inlineStr">
        <is>
          <t/>
        </is>
      </c>
      <c r="J172" t="inlineStr">
        <is>
          <t/>
        </is>
      </c>
      <c r="K172" t="inlineStr">
        <is>
          <t/>
        </is>
      </c>
      <c r="L172" t="inlineStr">
        <is>
          <t/>
        </is>
      </c>
      <c r="M172" t="inlineStr">
        <is>
          <t/>
        </is>
      </c>
      <c r="N172" t="inlineStr">
        <is>
          <t/>
        </is>
      </c>
      <c r="O172" t="inlineStr">
        <is>
          <t/>
        </is>
      </c>
      <c r="P172">
        <f>IF(F172="","",IF(G172=XLOOKUP(F172,'Task Scoring Key'!$A:$A,'Task Scoring Key'!$C:$C,""),2,IF(G172=XLOOKUP(F172,'Task Scoring Key'!$A:$A,'Task Scoring Key'!$D:$D,""),1,0)))</f>
      </c>
      <c r="Q172">
        <f>IF(F172="","",IF(H172=XLOOKUP(F172,'Task Scoring Key'!$A:$A,'Task Scoring Key'!$E:$E,""),1,0))</f>
      </c>
      <c r="R172">
        <f>IF(COUNTA(K172:M172)=0,"",AVERAGE(K172:M172))</f>
      </c>
    </row>
    <row r="173">
      <c r="A173" t="inlineStr">
        <is>
          <t/>
        </is>
      </c>
      <c r="B173" t="inlineStr">
        <is>
          <t/>
        </is>
      </c>
      <c r="C173" t="inlineStr">
        <is>
          <t/>
        </is>
      </c>
      <c r="D173" t="inlineStr">
        <is>
          <t/>
        </is>
      </c>
      <c r="E173" t="inlineStr">
        <is>
          <t/>
        </is>
      </c>
      <c r="F173" t="inlineStr">
        <is>
          <t/>
        </is>
      </c>
      <c r="G173" t="inlineStr">
        <is>
          <t/>
        </is>
      </c>
      <c r="H173" t="inlineStr">
        <is>
          <t/>
        </is>
      </c>
      <c r="I173" t="inlineStr">
        <is>
          <t/>
        </is>
      </c>
      <c r="J173" t="inlineStr">
        <is>
          <t/>
        </is>
      </c>
      <c r="K173" t="inlineStr">
        <is>
          <t/>
        </is>
      </c>
      <c r="L173" t="inlineStr">
        <is>
          <t/>
        </is>
      </c>
      <c r="M173" t="inlineStr">
        <is>
          <t/>
        </is>
      </c>
      <c r="N173" t="inlineStr">
        <is>
          <t/>
        </is>
      </c>
      <c r="O173" t="inlineStr">
        <is>
          <t/>
        </is>
      </c>
      <c r="P173">
        <f>IF(F173="","",IF(G173=XLOOKUP(F173,'Task Scoring Key'!$A:$A,'Task Scoring Key'!$C:$C,""),2,IF(G173=XLOOKUP(F173,'Task Scoring Key'!$A:$A,'Task Scoring Key'!$D:$D,""),1,0)))</f>
      </c>
      <c r="Q173">
        <f>IF(F173="","",IF(H173=XLOOKUP(F173,'Task Scoring Key'!$A:$A,'Task Scoring Key'!$E:$E,""),1,0))</f>
      </c>
      <c r="R173">
        <f>IF(COUNTA(K173:M173)=0,"",AVERAGE(K173:M173))</f>
      </c>
    </row>
    <row r="174">
      <c r="A174" t="inlineStr">
        <is>
          <t/>
        </is>
      </c>
      <c r="B174" t="inlineStr">
        <is>
          <t/>
        </is>
      </c>
      <c r="C174" t="inlineStr">
        <is>
          <t/>
        </is>
      </c>
      <c r="D174" t="inlineStr">
        <is>
          <t/>
        </is>
      </c>
      <c r="E174" t="inlineStr">
        <is>
          <t/>
        </is>
      </c>
      <c r="F174" t="inlineStr">
        <is>
          <t/>
        </is>
      </c>
      <c r="G174" t="inlineStr">
        <is>
          <t/>
        </is>
      </c>
      <c r="H174" t="inlineStr">
        <is>
          <t/>
        </is>
      </c>
      <c r="I174" t="inlineStr">
        <is>
          <t/>
        </is>
      </c>
      <c r="J174" t="inlineStr">
        <is>
          <t/>
        </is>
      </c>
      <c r="K174" t="inlineStr">
        <is>
          <t/>
        </is>
      </c>
      <c r="L174" t="inlineStr">
        <is>
          <t/>
        </is>
      </c>
      <c r="M174" t="inlineStr">
        <is>
          <t/>
        </is>
      </c>
      <c r="N174" t="inlineStr">
        <is>
          <t/>
        </is>
      </c>
      <c r="O174" t="inlineStr">
        <is>
          <t/>
        </is>
      </c>
      <c r="P174">
        <f>IF(F174="","",IF(G174=XLOOKUP(F174,'Task Scoring Key'!$A:$A,'Task Scoring Key'!$C:$C,""),2,IF(G174=XLOOKUP(F174,'Task Scoring Key'!$A:$A,'Task Scoring Key'!$D:$D,""),1,0)))</f>
      </c>
      <c r="Q174">
        <f>IF(F174="","",IF(H174=XLOOKUP(F174,'Task Scoring Key'!$A:$A,'Task Scoring Key'!$E:$E,""),1,0))</f>
      </c>
      <c r="R174">
        <f>IF(COUNTA(K174:M174)=0,"",AVERAGE(K174:M174))</f>
      </c>
    </row>
    <row r="175">
      <c r="A175" t="inlineStr">
        <is>
          <t/>
        </is>
      </c>
      <c r="B175" t="inlineStr">
        <is>
          <t/>
        </is>
      </c>
      <c r="C175" t="inlineStr">
        <is>
          <t/>
        </is>
      </c>
      <c r="D175" t="inlineStr">
        <is>
          <t/>
        </is>
      </c>
      <c r="E175" t="inlineStr">
        <is>
          <t/>
        </is>
      </c>
      <c r="F175" t="inlineStr">
        <is>
          <t/>
        </is>
      </c>
      <c r="G175" t="inlineStr">
        <is>
          <t/>
        </is>
      </c>
      <c r="H175" t="inlineStr">
        <is>
          <t/>
        </is>
      </c>
      <c r="I175" t="inlineStr">
        <is>
          <t/>
        </is>
      </c>
      <c r="J175" t="inlineStr">
        <is>
          <t/>
        </is>
      </c>
      <c r="K175" t="inlineStr">
        <is>
          <t/>
        </is>
      </c>
      <c r="L175" t="inlineStr">
        <is>
          <t/>
        </is>
      </c>
      <c r="M175" t="inlineStr">
        <is>
          <t/>
        </is>
      </c>
      <c r="N175" t="inlineStr">
        <is>
          <t/>
        </is>
      </c>
      <c r="O175" t="inlineStr">
        <is>
          <t/>
        </is>
      </c>
      <c r="P175">
        <f>IF(F175="","",IF(G175=XLOOKUP(F175,'Task Scoring Key'!$A:$A,'Task Scoring Key'!$C:$C,""),2,IF(G175=XLOOKUP(F175,'Task Scoring Key'!$A:$A,'Task Scoring Key'!$D:$D,""),1,0)))</f>
      </c>
      <c r="Q175">
        <f>IF(F175="","",IF(H175=XLOOKUP(F175,'Task Scoring Key'!$A:$A,'Task Scoring Key'!$E:$E,""),1,0))</f>
      </c>
      <c r="R175">
        <f>IF(COUNTA(K175:M175)=0,"",AVERAGE(K175:M175))</f>
      </c>
    </row>
    <row r="176">
      <c r="A176" t="inlineStr">
        <is>
          <t/>
        </is>
      </c>
      <c r="B176" t="inlineStr">
        <is>
          <t/>
        </is>
      </c>
      <c r="C176" t="inlineStr">
        <is>
          <t/>
        </is>
      </c>
      <c r="D176" t="inlineStr">
        <is>
          <t/>
        </is>
      </c>
      <c r="E176" t="inlineStr">
        <is>
          <t/>
        </is>
      </c>
      <c r="F176" t="inlineStr">
        <is>
          <t/>
        </is>
      </c>
      <c r="G176" t="inlineStr">
        <is>
          <t/>
        </is>
      </c>
      <c r="H176" t="inlineStr">
        <is>
          <t/>
        </is>
      </c>
      <c r="I176" t="inlineStr">
        <is>
          <t/>
        </is>
      </c>
      <c r="J176" t="inlineStr">
        <is>
          <t/>
        </is>
      </c>
      <c r="K176" t="inlineStr">
        <is>
          <t/>
        </is>
      </c>
      <c r="L176" t="inlineStr">
        <is>
          <t/>
        </is>
      </c>
      <c r="M176" t="inlineStr">
        <is>
          <t/>
        </is>
      </c>
      <c r="N176" t="inlineStr">
        <is>
          <t/>
        </is>
      </c>
      <c r="O176" t="inlineStr">
        <is>
          <t/>
        </is>
      </c>
      <c r="P176">
        <f>IF(F176="","",IF(G176=XLOOKUP(F176,'Task Scoring Key'!$A:$A,'Task Scoring Key'!$C:$C,""),2,IF(G176=XLOOKUP(F176,'Task Scoring Key'!$A:$A,'Task Scoring Key'!$D:$D,""),1,0)))</f>
      </c>
      <c r="Q176">
        <f>IF(F176="","",IF(H176=XLOOKUP(F176,'Task Scoring Key'!$A:$A,'Task Scoring Key'!$E:$E,""),1,0))</f>
      </c>
      <c r="R176">
        <f>IF(COUNTA(K176:M176)=0,"",AVERAGE(K176:M176))</f>
      </c>
    </row>
    <row r="177">
      <c r="A177" t="inlineStr">
        <is>
          <t/>
        </is>
      </c>
      <c r="B177" t="inlineStr">
        <is>
          <t/>
        </is>
      </c>
      <c r="C177" t="inlineStr">
        <is>
          <t/>
        </is>
      </c>
      <c r="D177" t="inlineStr">
        <is>
          <t/>
        </is>
      </c>
      <c r="E177" t="inlineStr">
        <is>
          <t/>
        </is>
      </c>
      <c r="F177" t="inlineStr">
        <is>
          <t/>
        </is>
      </c>
      <c r="G177" t="inlineStr">
        <is>
          <t/>
        </is>
      </c>
      <c r="H177" t="inlineStr">
        <is>
          <t/>
        </is>
      </c>
      <c r="I177" t="inlineStr">
        <is>
          <t/>
        </is>
      </c>
      <c r="J177" t="inlineStr">
        <is>
          <t/>
        </is>
      </c>
      <c r="K177" t="inlineStr">
        <is>
          <t/>
        </is>
      </c>
      <c r="L177" t="inlineStr">
        <is>
          <t/>
        </is>
      </c>
      <c r="M177" t="inlineStr">
        <is>
          <t/>
        </is>
      </c>
      <c r="N177" t="inlineStr">
        <is>
          <t/>
        </is>
      </c>
      <c r="O177" t="inlineStr">
        <is>
          <t/>
        </is>
      </c>
      <c r="P177">
        <f>IF(F177="","",IF(G177=XLOOKUP(F177,'Task Scoring Key'!$A:$A,'Task Scoring Key'!$C:$C,""),2,IF(G177=XLOOKUP(F177,'Task Scoring Key'!$A:$A,'Task Scoring Key'!$D:$D,""),1,0)))</f>
      </c>
      <c r="Q177">
        <f>IF(F177="","",IF(H177=XLOOKUP(F177,'Task Scoring Key'!$A:$A,'Task Scoring Key'!$E:$E,""),1,0))</f>
      </c>
      <c r="R177">
        <f>IF(COUNTA(K177:M177)=0,"",AVERAGE(K177:M177))</f>
      </c>
    </row>
    <row r="178">
      <c r="A178" t="inlineStr">
        <is>
          <t/>
        </is>
      </c>
      <c r="B178" t="inlineStr">
        <is>
          <t/>
        </is>
      </c>
      <c r="C178" t="inlineStr">
        <is>
          <t/>
        </is>
      </c>
      <c r="D178" t="inlineStr">
        <is>
          <t/>
        </is>
      </c>
      <c r="E178" t="inlineStr">
        <is>
          <t/>
        </is>
      </c>
      <c r="F178" t="inlineStr">
        <is>
          <t/>
        </is>
      </c>
      <c r="G178" t="inlineStr">
        <is>
          <t/>
        </is>
      </c>
      <c r="H178" t="inlineStr">
        <is>
          <t/>
        </is>
      </c>
      <c r="I178" t="inlineStr">
        <is>
          <t/>
        </is>
      </c>
      <c r="J178" t="inlineStr">
        <is>
          <t/>
        </is>
      </c>
      <c r="K178" t="inlineStr">
        <is>
          <t/>
        </is>
      </c>
      <c r="L178" t="inlineStr">
        <is>
          <t/>
        </is>
      </c>
      <c r="M178" t="inlineStr">
        <is>
          <t/>
        </is>
      </c>
      <c r="N178" t="inlineStr">
        <is>
          <t/>
        </is>
      </c>
      <c r="O178" t="inlineStr">
        <is>
          <t/>
        </is>
      </c>
      <c r="P178">
        <f>IF(F178="","",IF(G178=XLOOKUP(F178,'Task Scoring Key'!$A:$A,'Task Scoring Key'!$C:$C,""),2,IF(G178=XLOOKUP(F178,'Task Scoring Key'!$A:$A,'Task Scoring Key'!$D:$D,""),1,0)))</f>
      </c>
      <c r="Q178">
        <f>IF(F178="","",IF(H178=XLOOKUP(F178,'Task Scoring Key'!$A:$A,'Task Scoring Key'!$E:$E,""),1,0))</f>
      </c>
      <c r="R178">
        <f>IF(COUNTA(K178:M178)=0,"",AVERAGE(K178:M178))</f>
      </c>
    </row>
    <row r="179">
      <c r="A179" t="inlineStr">
        <is>
          <t/>
        </is>
      </c>
      <c r="B179" t="inlineStr">
        <is>
          <t/>
        </is>
      </c>
      <c r="C179" t="inlineStr">
        <is>
          <t/>
        </is>
      </c>
      <c r="D179" t="inlineStr">
        <is>
          <t/>
        </is>
      </c>
      <c r="E179" t="inlineStr">
        <is>
          <t/>
        </is>
      </c>
      <c r="F179" t="inlineStr">
        <is>
          <t/>
        </is>
      </c>
      <c r="G179" t="inlineStr">
        <is>
          <t/>
        </is>
      </c>
      <c r="H179" t="inlineStr">
        <is>
          <t/>
        </is>
      </c>
      <c r="I179" t="inlineStr">
        <is>
          <t/>
        </is>
      </c>
      <c r="J179" t="inlineStr">
        <is>
          <t/>
        </is>
      </c>
      <c r="K179" t="inlineStr">
        <is>
          <t/>
        </is>
      </c>
      <c r="L179" t="inlineStr">
        <is>
          <t/>
        </is>
      </c>
      <c r="M179" t="inlineStr">
        <is>
          <t/>
        </is>
      </c>
      <c r="N179" t="inlineStr">
        <is>
          <t/>
        </is>
      </c>
      <c r="O179" t="inlineStr">
        <is>
          <t/>
        </is>
      </c>
      <c r="P179">
        <f>IF(F179="","",IF(G179=XLOOKUP(F179,'Task Scoring Key'!$A:$A,'Task Scoring Key'!$C:$C,""),2,IF(G179=XLOOKUP(F179,'Task Scoring Key'!$A:$A,'Task Scoring Key'!$D:$D,""),1,0)))</f>
      </c>
      <c r="Q179">
        <f>IF(F179="","",IF(H179=XLOOKUP(F179,'Task Scoring Key'!$A:$A,'Task Scoring Key'!$E:$E,""),1,0))</f>
      </c>
      <c r="R179">
        <f>IF(COUNTA(K179:M179)=0,"",AVERAGE(K179:M179))</f>
      </c>
    </row>
    <row r="180">
      <c r="A180" t="inlineStr">
        <is>
          <t/>
        </is>
      </c>
      <c r="B180" t="inlineStr">
        <is>
          <t/>
        </is>
      </c>
      <c r="C180" t="inlineStr">
        <is>
          <t/>
        </is>
      </c>
      <c r="D180" t="inlineStr">
        <is>
          <t/>
        </is>
      </c>
      <c r="E180" t="inlineStr">
        <is>
          <t/>
        </is>
      </c>
      <c r="F180" t="inlineStr">
        <is>
          <t/>
        </is>
      </c>
      <c r="G180" t="inlineStr">
        <is>
          <t/>
        </is>
      </c>
      <c r="H180" t="inlineStr">
        <is>
          <t/>
        </is>
      </c>
      <c r="I180" t="inlineStr">
        <is>
          <t/>
        </is>
      </c>
      <c r="J180" t="inlineStr">
        <is>
          <t/>
        </is>
      </c>
      <c r="K180" t="inlineStr">
        <is>
          <t/>
        </is>
      </c>
      <c r="L180" t="inlineStr">
        <is>
          <t/>
        </is>
      </c>
      <c r="M180" t="inlineStr">
        <is>
          <t/>
        </is>
      </c>
      <c r="N180" t="inlineStr">
        <is>
          <t/>
        </is>
      </c>
      <c r="O180" t="inlineStr">
        <is>
          <t/>
        </is>
      </c>
      <c r="P180">
        <f>IF(F180="","",IF(G180=XLOOKUP(F180,'Task Scoring Key'!$A:$A,'Task Scoring Key'!$C:$C,""),2,IF(G180=XLOOKUP(F180,'Task Scoring Key'!$A:$A,'Task Scoring Key'!$D:$D,""),1,0)))</f>
      </c>
      <c r="Q180">
        <f>IF(F180="","",IF(H180=XLOOKUP(F180,'Task Scoring Key'!$A:$A,'Task Scoring Key'!$E:$E,""),1,0))</f>
      </c>
      <c r="R180">
        <f>IF(COUNTA(K180:M180)=0,"",AVERAGE(K180:M180))</f>
      </c>
    </row>
    <row r="181">
      <c r="A181" t="inlineStr">
        <is>
          <t/>
        </is>
      </c>
      <c r="B181" t="inlineStr">
        <is>
          <t/>
        </is>
      </c>
      <c r="C181" t="inlineStr">
        <is>
          <t/>
        </is>
      </c>
      <c r="D181" t="inlineStr">
        <is>
          <t/>
        </is>
      </c>
      <c r="E181" t="inlineStr">
        <is>
          <t/>
        </is>
      </c>
      <c r="F181" t="inlineStr">
        <is>
          <t/>
        </is>
      </c>
      <c r="G181" t="inlineStr">
        <is>
          <t/>
        </is>
      </c>
      <c r="H181" t="inlineStr">
        <is>
          <t/>
        </is>
      </c>
      <c r="I181" t="inlineStr">
        <is>
          <t/>
        </is>
      </c>
      <c r="J181" t="inlineStr">
        <is>
          <t/>
        </is>
      </c>
      <c r="K181" t="inlineStr">
        <is>
          <t/>
        </is>
      </c>
      <c r="L181" t="inlineStr">
        <is>
          <t/>
        </is>
      </c>
      <c r="M181" t="inlineStr">
        <is>
          <t/>
        </is>
      </c>
      <c r="N181" t="inlineStr">
        <is>
          <t/>
        </is>
      </c>
      <c r="O181" t="inlineStr">
        <is>
          <t/>
        </is>
      </c>
      <c r="P181">
        <f>IF(F181="","",IF(G181=XLOOKUP(F181,'Task Scoring Key'!$A:$A,'Task Scoring Key'!$C:$C,""),2,IF(G181=XLOOKUP(F181,'Task Scoring Key'!$A:$A,'Task Scoring Key'!$D:$D,""),1,0)))</f>
      </c>
      <c r="Q181">
        <f>IF(F181="","",IF(H181=XLOOKUP(F181,'Task Scoring Key'!$A:$A,'Task Scoring Key'!$E:$E,""),1,0))</f>
      </c>
      <c r="R181">
        <f>IF(COUNTA(K181:M181)=0,"",AVERAGE(K181:M181))</f>
      </c>
    </row>
    <row r="182">
      <c r="A182" t="inlineStr">
        <is>
          <t/>
        </is>
      </c>
      <c r="B182" t="inlineStr">
        <is>
          <t/>
        </is>
      </c>
      <c r="C182" t="inlineStr">
        <is>
          <t/>
        </is>
      </c>
      <c r="D182" t="inlineStr">
        <is>
          <t/>
        </is>
      </c>
      <c r="E182" t="inlineStr">
        <is>
          <t/>
        </is>
      </c>
      <c r="F182" t="inlineStr">
        <is>
          <t/>
        </is>
      </c>
      <c r="G182" t="inlineStr">
        <is>
          <t/>
        </is>
      </c>
      <c r="H182" t="inlineStr">
        <is>
          <t/>
        </is>
      </c>
      <c r="I182" t="inlineStr">
        <is>
          <t/>
        </is>
      </c>
      <c r="J182" t="inlineStr">
        <is>
          <t/>
        </is>
      </c>
      <c r="K182" t="inlineStr">
        <is>
          <t/>
        </is>
      </c>
      <c r="L182" t="inlineStr">
        <is>
          <t/>
        </is>
      </c>
      <c r="M182" t="inlineStr">
        <is>
          <t/>
        </is>
      </c>
      <c r="N182" t="inlineStr">
        <is>
          <t/>
        </is>
      </c>
      <c r="O182" t="inlineStr">
        <is>
          <t/>
        </is>
      </c>
      <c r="P182">
        <f>IF(F182="","",IF(G182=XLOOKUP(F182,'Task Scoring Key'!$A:$A,'Task Scoring Key'!$C:$C,""),2,IF(G182=XLOOKUP(F182,'Task Scoring Key'!$A:$A,'Task Scoring Key'!$D:$D,""),1,0)))</f>
      </c>
      <c r="Q182">
        <f>IF(F182="","",IF(H182=XLOOKUP(F182,'Task Scoring Key'!$A:$A,'Task Scoring Key'!$E:$E,""),1,0))</f>
      </c>
      <c r="R182">
        <f>IF(COUNTA(K182:M182)=0,"",AVERAGE(K182:M182))</f>
      </c>
    </row>
    <row r="183">
      <c r="A183" t="inlineStr">
        <is>
          <t/>
        </is>
      </c>
      <c r="B183" t="inlineStr">
        <is>
          <t/>
        </is>
      </c>
      <c r="C183" t="inlineStr">
        <is>
          <t/>
        </is>
      </c>
      <c r="D183" t="inlineStr">
        <is>
          <t/>
        </is>
      </c>
      <c r="E183" t="inlineStr">
        <is>
          <t/>
        </is>
      </c>
      <c r="F183" t="inlineStr">
        <is>
          <t/>
        </is>
      </c>
      <c r="G183" t="inlineStr">
        <is>
          <t/>
        </is>
      </c>
      <c r="H183" t="inlineStr">
        <is>
          <t/>
        </is>
      </c>
      <c r="I183" t="inlineStr">
        <is>
          <t/>
        </is>
      </c>
      <c r="J183" t="inlineStr">
        <is>
          <t/>
        </is>
      </c>
      <c r="K183" t="inlineStr">
        <is>
          <t/>
        </is>
      </c>
      <c r="L183" t="inlineStr">
        <is>
          <t/>
        </is>
      </c>
      <c r="M183" t="inlineStr">
        <is>
          <t/>
        </is>
      </c>
      <c r="N183" t="inlineStr">
        <is>
          <t/>
        </is>
      </c>
      <c r="O183" t="inlineStr">
        <is>
          <t/>
        </is>
      </c>
      <c r="P183">
        <f>IF(F183="","",IF(G183=XLOOKUP(F183,'Task Scoring Key'!$A:$A,'Task Scoring Key'!$C:$C,""),2,IF(G183=XLOOKUP(F183,'Task Scoring Key'!$A:$A,'Task Scoring Key'!$D:$D,""),1,0)))</f>
      </c>
      <c r="Q183">
        <f>IF(F183="","",IF(H183=XLOOKUP(F183,'Task Scoring Key'!$A:$A,'Task Scoring Key'!$E:$E,""),1,0))</f>
      </c>
      <c r="R183">
        <f>IF(COUNTA(K183:M183)=0,"",AVERAGE(K183:M183))</f>
      </c>
    </row>
    <row r="184">
      <c r="A184" t="inlineStr">
        <is>
          <t/>
        </is>
      </c>
      <c r="B184" t="inlineStr">
        <is>
          <t/>
        </is>
      </c>
      <c r="C184" t="inlineStr">
        <is>
          <t/>
        </is>
      </c>
      <c r="D184" t="inlineStr">
        <is>
          <t/>
        </is>
      </c>
      <c r="E184" t="inlineStr">
        <is>
          <t/>
        </is>
      </c>
      <c r="F184" t="inlineStr">
        <is>
          <t/>
        </is>
      </c>
      <c r="G184" t="inlineStr">
        <is>
          <t/>
        </is>
      </c>
      <c r="H184" t="inlineStr">
        <is>
          <t/>
        </is>
      </c>
      <c r="I184" t="inlineStr">
        <is>
          <t/>
        </is>
      </c>
      <c r="J184" t="inlineStr">
        <is>
          <t/>
        </is>
      </c>
      <c r="K184" t="inlineStr">
        <is>
          <t/>
        </is>
      </c>
      <c r="L184" t="inlineStr">
        <is>
          <t/>
        </is>
      </c>
      <c r="M184" t="inlineStr">
        <is>
          <t/>
        </is>
      </c>
      <c r="N184" t="inlineStr">
        <is>
          <t/>
        </is>
      </c>
      <c r="O184" t="inlineStr">
        <is>
          <t/>
        </is>
      </c>
      <c r="P184">
        <f>IF(F184="","",IF(G184=XLOOKUP(F184,'Task Scoring Key'!$A:$A,'Task Scoring Key'!$C:$C,""),2,IF(G184=XLOOKUP(F184,'Task Scoring Key'!$A:$A,'Task Scoring Key'!$D:$D,""),1,0)))</f>
      </c>
      <c r="Q184">
        <f>IF(F184="","",IF(H184=XLOOKUP(F184,'Task Scoring Key'!$A:$A,'Task Scoring Key'!$E:$E,""),1,0))</f>
      </c>
      <c r="R184">
        <f>IF(COUNTA(K184:M184)=0,"",AVERAGE(K184:M184))</f>
      </c>
    </row>
    <row r="185">
      <c r="A185" t="inlineStr">
        <is>
          <t/>
        </is>
      </c>
      <c r="B185" t="inlineStr">
        <is>
          <t/>
        </is>
      </c>
      <c r="C185" t="inlineStr">
        <is>
          <t/>
        </is>
      </c>
      <c r="D185" t="inlineStr">
        <is>
          <t/>
        </is>
      </c>
      <c r="E185" t="inlineStr">
        <is>
          <t/>
        </is>
      </c>
      <c r="F185" t="inlineStr">
        <is>
          <t/>
        </is>
      </c>
      <c r="G185" t="inlineStr">
        <is>
          <t/>
        </is>
      </c>
      <c r="H185" t="inlineStr">
        <is>
          <t/>
        </is>
      </c>
      <c r="I185" t="inlineStr">
        <is>
          <t/>
        </is>
      </c>
      <c r="J185" t="inlineStr">
        <is>
          <t/>
        </is>
      </c>
      <c r="K185" t="inlineStr">
        <is>
          <t/>
        </is>
      </c>
      <c r="L185" t="inlineStr">
        <is>
          <t/>
        </is>
      </c>
      <c r="M185" t="inlineStr">
        <is>
          <t/>
        </is>
      </c>
      <c r="N185" t="inlineStr">
        <is>
          <t/>
        </is>
      </c>
      <c r="O185" t="inlineStr">
        <is>
          <t/>
        </is>
      </c>
      <c r="P185">
        <f>IF(F185="","",IF(G185=XLOOKUP(F185,'Task Scoring Key'!$A:$A,'Task Scoring Key'!$C:$C,""),2,IF(G185=XLOOKUP(F185,'Task Scoring Key'!$A:$A,'Task Scoring Key'!$D:$D,""),1,0)))</f>
      </c>
      <c r="Q185">
        <f>IF(F185="","",IF(H185=XLOOKUP(F185,'Task Scoring Key'!$A:$A,'Task Scoring Key'!$E:$E,""),1,0))</f>
      </c>
      <c r="R185">
        <f>IF(COUNTA(K185:M185)=0,"",AVERAGE(K185:M185))</f>
      </c>
    </row>
    <row r="186">
      <c r="A186" t="inlineStr">
        <is>
          <t/>
        </is>
      </c>
      <c r="B186" t="inlineStr">
        <is>
          <t/>
        </is>
      </c>
      <c r="C186" t="inlineStr">
        <is>
          <t/>
        </is>
      </c>
      <c r="D186" t="inlineStr">
        <is>
          <t/>
        </is>
      </c>
      <c r="E186" t="inlineStr">
        <is>
          <t/>
        </is>
      </c>
      <c r="F186" t="inlineStr">
        <is>
          <t/>
        </is>
      </c>
      <c r="G186" t="inlineStr">
        <is>
          <t/>
        </is>
      </c>
      <c r="H186" t="inlineStr">
        <is>
          <t/>
        </is>
      </c>
      <c r="I186" t="inlineStr">
        <is>
          <t/>
        </is>
      </c>
      <c r="J186" t="inlineStr">
        <is>
          <t/>
        </is>
      </c>
      <c r="K186" t="inlineStr">
        <is>
          <t/>
        </is>
      </c>
      <c r="L186" t="inlineStr">
        <is>
          <t/>
        </is>
      </c>
      <c r="M186" t="inlineStr">
        <is>
          <t/>
        </is>
      </c>
      <c r="N186" t="inlineStr">
        <is>
          <t/>
        </is>
      </c>
      <c r="O186" t="inlineStr">
        <is>
          <t/>
        </is>
      </c>
      <c r="P186">
        <f>IF(F186="","",IF(G186=XLOOKUP(F186,'Task Scoring Key'!$A:$A,'Task Scoring Key'!$C:$C,""),2,IF(G186=XLOOKUP(F186,'Task Scoring Key'!$A:$A,'Task Scoring Key'!$D:$D,""),1,0)))</f>
      </c>
      <c r="Q186">
        <f>IF(F186="","",IF(H186=XLOOKUP(F186,'Task Scoring Key'!$A:$A,'Task Scoring Key'!$E:$E,""),1,0))</f>
      </c>
      <c r="R186">
        <f>IF(COUNTA(K186:M186)=0,"",AVERAGE(K186:M186))</f>
      </c>
    </row>
    <row r="187">
      <c r="A187" t="inlineStr">
        <is>
          <t/>
        </is>
      </c>
      <c r="B187" t="inlineStr">
        <is>
          <t/>
        </is>
      </c>
      <c r="C187" t="inlineStr">
        <is>
          <t/>
        </is>
      </c>
      <c r="D187" t="inlineStr">
        <is>
          <t/>
        </is>
      </c>
      <c r="E187" t="inlineStr">
        <is>
          <t/>
        </is>
      </c>
      <c r="F187" t="inlineStr">
        <is>
          <t/>
        </is>
      </c>
      <c r="G187" t="inlineStr">
        <is>
          <t/>
        </is>
      </c>
      <c r="H187" t="inlineStr">
        <is>
          <t/>
        </is>
      </c>
      <c r="I187" t="inlineStr">
        <is>
          <t/>
        </is>
      </c>
      <c r="J187" t="inlineStr">
        <is>
          <t/>
        </is>
      </c>
      <c r="K187" t="inlineStr">
        <is>
          <t/>
        </is>
      </c>
      <c r="L187" t="inlineStr">
        <is>
          <t/>
        </is>
      </c>
      <c r="M187" t="inlineStr">
        <is>
          <t/>
        </is>
      </c>
      <c r="N187" t="inlineStr">
        <is>
          <t/>
        </is>
      </c>
      <c r="O187" t="inlineStr">
        <is>
          <t/>
        </is>
      </c>
      <c r="P187">
        <f>IF(F187="","",IF(G187=XLOOKUP(F187,'Task Scoring Key'!$A:$A,'Task Scoring Key'!$C:$C,""),2,IF(G187=XLOOKUP(F187,'Task Scoring Key'!$A:$A,'Task Scoring Key'!$D:$D,""),1,0)))</f>
      </c>
      <c r="Q187">
        <f>IF(F187="","",IF(H187=XLOOKUP(F187,'Task Scoring Key'!$A:$A,'Task Scoring Key'!$E:$E,""),1,0))</f>
      </c>
      <c r="R187">
        <f>IF(COUNTA(K187:M187)=0,"",AVERAGE(K187:M187))</f>
      </c>
    </row>
    <row r="188">
      <c r="A188" t="inlineStr">
        <is>
          <t/>
        </is>
      </c>
      <c r="B188" t="inlineStr">
        <is>
          <t/>
        </is>
      </c>
      <c r="C188" t="inlineStr">
        <is>
          <t/>
        </is>
      </c>
      <c r="D188" t="inlineStr">
        <is>
          <t/>
        </is>
      </c>
      <c r="E188" t="inlineStr">
        <is>
          <t/>
        </is>
      </c>
      <c r="F188" t="inlineStr">
        <is>
          <t/>
        </is>
      </c>
      <c r="G188" t="inlineStr">
        <is>
          <t/>
        </is>
      </c>
      <c r="H188" t="inlineStr">
        <is>
          <t/>
        </is>
      </c>
      <c r="I188" t="inlineStr">
        <is>
          <t/>
        </is>
      </c>
      <c r="J188" t="inlineStr">
        <is>
          <t/>
        </is>
      </c>
      <c r="K188" t="inlineStr">
        <is>
          <t/>
        </is>
      </c>
      <c r="L188" t="inlineStr">
        <is>
          <t/>
        </is>
      </c>
      <c r="M188" t="inlineStr">
        <is>
          <t/>
        </is>
      </c>
      <c r="N188" t="inlineStr">
        <is>
          <t/>
        </is>
      </c>
      <c r="O188" t="inlineStr">
        <is>
          <t/>
        </is>
      </c>
      <c r="P188">
        <f>IF(F188="","",IF(G188=XLOOKUP(F188,'Task Scoring Key'!$A:$A,'Task Scoring Key'!$C:$C,""),2,IF(G188=XLOOKUP(F188,'Task Scoring Key'!$A:$A,'Task Scoring Key'!$D:$D,""),1,0)))</f>
      </c>
      <c r="Q188">
        <f>IF(F188="","",IF(H188=XLOOKUP(F188,'Task Scoring Key'!$A:$A,'Task Scoring Key'!$E:$E,""),1,0))</f>
      </c>
      <c r="R188">
        <f>IF(COUNTA(K188:M188)=0,"",AVERAGE(K188:M188))</f>
      </c>
    </row>
    <row r="189">
      <c r="A189" t="inlineStr">
        <is>
          <t/>
        </is>
      </c>
      <c r="B189" t="inlineStr">
        <is>
          <t/>
        </is>
      </c>
      <c r="C189" t="inlineStr">
        <is>
          <t/>
        </is>
      </c>
      <c r="D189" t="inlineStr">
        <is>
          <t/>
        </is>
      </c>
      <c r="E189" t="inlineStr">
        <is>
          <t/>
        </is>
      </c>
      <c r="F189" t="inlineStr">
        <is>
          <t/>
        </is>
      </c>
      <c r="G189" t="inlineStr">
        <is>
          <t/>
        </is>
      </c>
      <c r="H189" t="inlineStr">
        <is>
          <t/>
        </is>
      </c>
      <c r="I189" t="inlineStr">
        <is>
          <t/>
        </is>
      </c>
      <c r="J189" t="inlineStr">
        <is>
          <t/>
        </is>
      </c>
      <c r="K189" t="inlineStr">
        <is>
          <t/>
        </is>
      </c>
      <c r="L189" t="inlineStr">
        <is>
          <t/>
        </is>
      </c>
      <c r="M189" t="inlineStr">
        <is>
          <t/>
        </is>
      </c>
      <c r="N189" t="inlineStr">
        <is>
          <t/>
        </is>
      </c>
      <c r="O189" t="inlineStr">
        <is>
          <t/>
        </is>
      </c>
      <c r="P189">
        <f>IF(F189="","",IF(G189=XLOOKUP(F189,'Task Scoring Key'!$A:$A,'Task Scoring Key'!$C:$C,""),2,IF(G189=XLOOKUP(F189,'Task Scoring Key'!$A:$A,'Task Scoring Key'!$D:$D,""),1,0)))</f>
      </c>
      <c r="Q189">
        <f>IF(F189="","",IF(H189=XLOOKUP(F189,'Task Scoring Key'!$A:$A,'Task Scoring Key'!$E:$E,""),1,0))</f>
      </c>
      <c r="R189">
        <f>IF(COUNTA(K189:M189)=0,"",AVERAGE(K189:M189))</f>
      </c>
    </row>
    <row r="190">
      <c r="A190" t="inlineStr">
        <is>
          <t/>
        </is>
      </c>
      <c r="B190" t="inlineStr">
        <is>
          <t/>
        </is>
      </c>
      <c r="C190" t="inlineStr">
        <is>
          <t/>
        </is>
      </c>
      <c r="D190" t="inlineStr">
        <is>
          <t/>
        </is>
      </c>
      <c r="E190" t="inlineStr">
        <is>
          <t/>
        </is>
      </c>
      <c r="F190" t="inlineStr">
        <is>
          <t/>
        </is>
      </c>
      <c r="G190" t="inlineStr">
        <is>
          <t/>
        </is>
      </c>
      <c r="H190" t="inlineStr">
        <is>
          <t/>
        </is>
      </c>
      <c r="I190" t="inlineStr">
        <is>
          <t/>
        </is>
      </c>
      <c r="J190" t="inlineStr">
        <is>
          <t/>
        </is>
      </c>
      <c r="K190" t="inlineStr">
        <is>
          <t/>
        </is>
      </c>
      <c r="L190" t="inlineStr">
        <is>
          <t/>
        </is>
      </c>
      <c r="M190" t="inlineStr">
        <is>
          <t/>
        </is>
      </c>
      <c r="N190" t="inlineStr">
        <is>
          <t/>
        </is>
      </c>
      <c r="O190" t="inlineStr">
        <is>
          <t/>
        </is>
      </c>
      <c r="P190">
        <f>IF(F190="","",IF(G190=XLOOKUP(F190,'Task Scoring Key'!$A:$A,'Task Scoring Key'!$C:$C,""),2,IF(G190=XLOOKUP(F190,'Task Scoring Key'!$A:$A,'Task Scoring Key'!$D:$D,""),1,0)))</f>
      </c>
      <c r="Q190">
        <f>IF(F190="","",IF(H190=XLOOKUP(F190,'Task Scoring Key'!$A:$A,'Task Scoring Key'!$E:$E,""),1,0))</f>
      </c>
      <c r="R190">
        <f>IF(COUNTA(K190:M190)=0,"",AVERAGE(K190:M190))</f>
      </c>
    </row>
    <row r="191">
      <c r="A191" t="inlineStr">
        <is>
          <t/>
        </is>
      </c>
      <c r="B191" t="inlineStr">
        <is>
          <t/>
        </is>
      </c>
      <c r="C191" t="inlineStr">
        <is>
          <t/>
        </is>
      </c>
      <c r="D191" t="inlineStr">
        <is>
          <t/>
        </is>
      </c>
      <c r="E191" t="inlineStr">
        <is>
          <t/>
        </is>
      </c>
      <c r="F191" t="inlineStr">
        <is>
          <t/>
        </is>
      </c>
      <c r="G191" t="inlineStr">
        <is>
          <t/>
        </is>
      </c>
      <c r="H191" t="inlineStr">
        <is>
          <t/>
        </is>
      </c>
      <c r="I191" t="inlineStr">
        <is>
          <t/>
        </is>
      </c>
      <c r="J191" t="inlineStr">
        <is>
          <t/>
        </is>
      </c>
      <c r="K191" t="inlineStr">
        <is>
          <t/>
        </is>
      </c>
      <c r="L191" t="inlineStr">
        <is>
          <t/>
        </is>
      </c>
      <c r="M191" t="inlineStr">
        <is>
          <t/>
        </is>
      </c>
      <c r="N191" t="inlineStr">
        <is>
          <t/>
        </is>
      </c>
      <c r="O191" t="inlineStr">
        <is>
          <t/>
        </is>
      </c>
      <c r="P191">
        <f>IF(F191="","",IF(G191=XLOOKUP(F191,'Task Scoring Key'!$A:$A,'Task Scoring Key'!$C:$C,""),2,IF(G191=XLOOKUP(F191,'Task Scoring Key'!$A:$A,'Task Scoring Key'!$D:$D,""),1,0)))</f>
      </c>
      <c r="Q191">
        <f>IF(F191="","",IF(H191=XLOOKUP(F191,'Task Scoring Key'!$A:$A,'Task Scoring Key'!$E:$E,""),1,0))</f>
      </c>
      <c r="R191">
        <f>IF(COUNTA(K191:M191)=0,"",AVERAGE(K191:M191))</f>
      </c>
    </row>
    <row r="192">
      <c r="A192" t="inlineStr">
        <is>
          <t/>
        </is>
      </c>
      <c r="B192" t="inlineStr">
        <is>
          <t/>
        </is>
      </c>
      <c r="C192" t="inlineStr">
        <is>
          <t/>
        </is>
      </c>
      <c r="D192" t="inlineStr">
        <is>
          <t/>
        </is>
      </c>
      <c r="E192" t="inlineStr">
        <is>
          <t/>
        </is>
      </c>
      <c r="F192" t="inlineStr">
        <is>
          <t/>
        </is>
      </c>
      <c r="G192" t="inlineStr">
        <is>
          <t/>
        </is>
      </c>
      <c r="H192" t="inlineStr">
        <is>
          <t/>
        </is>
      </c>
      <c r="I192" t="inlineStr">
        <is>
          <t/>
        </is>
      </c>
      <c r="J192" t="inlineStr">
        <is>
          <t/>
        </is>
      </c>
      <c r="K192" t="inlineStr">
        <is>
          <t/>
        </is>
      </c>
      <c r="L192" t="inlineStr">
        <is>
          <t/>
        </is>
      </c>
      <c r="M192" t="inlineStr">
        <is>
          <t/>
        </is>
      </c>
      <c r="N192" t="inlineStr">
        <is>
          <t/>
        </is>
      </c>
      <c r="O192" t="inlineStr">
        <is>
          <t/>
        </is>
      </c>
      <c r="P192">
        <f>IF(F192="","",IF(G192=XLOOKUP(F192,'Task Scoring Key'!$A:$A,'Task Scoring Key'!$C:$C,""),2,IF(G192=XLOOKUP(F192,'Task Scoring Key'!$A:$A,'Task Scoring Key'!$D:$D,""),1,0)))</f>
      </c>
      <c r="Q192">
        <f>IF(F192="","",IF(H192=XLOOKUP(F192,'Task Scoring Key'!$A:$A,'Task Scoring Key'!$E:$E,""),1,0))</f>
      </c>
      <c r="R192">
        <f>IF(COUNTA(K192:M192)=0,"",AVERAGE(K192:M192))</f>
      </c>
    </row>
    <row r="193">
      <c r="A193" t="inlineStr">
        <is>
          <t/>
        </is>
      </c>
      <c r="B193" t="inlineStr">
        <is>
          <t/>
        </is>
      </c>
      <c r="C193" t="inlineStr">
        <is>
          <t/>
        </is>
      </c>
      <c r="D193" t="inlineStr">
        <is>
          <t/>
        </is>
      </c>
      <c r="E193" t="inlineStr">
        <is>
          <t/>
        </is>
      </c>
      <c r="F193" t="inlineStr">
        <is>
          <t/>
        </is>
      </c>
      <c r="G193" t="inlineStr">
        <is>
          <t/>
        </is>
      </c>
      <c r="H193" t="inlineStr">
        <is>
          <t/>
        </is>
      </c>
      <c r="I193" t="inlineStr">
        <is>
          <t/>
        </is>
      </c>
      <c r="J193" t="inlineStr">
        <is>
          <t/>
        </is>
      </c>
      <c r="K193" t="inlineStr">
        <is>
          <t/>
        </is>
      </c>
      <c r="L193" t="inlineStr">
        <is>
          <t/>
        </is>
      </c>
      <c r="M193" t="inlineStr">
        <is>
          <t/>
        </is>
      </c>
      <c r="N193" t="inlineStr">
        <is>
          <t/>
        </is>
      </c>
      <c r="O193" t="inlineStr">
        <is>
          <t/>
        </is>
      </c>
      <c r="P193">
        <f>IF(F193="","",IF(G193=XLOOKUP(F193,'Task Scoring Key'!$A:$A,'Task Scoring Key'!$C:$C,""),2,IF(G193=XLOOKUP(F193,'Task Scoring Key'!$A:$A,'Task Scoring Key'!$D:$D,""),1,0)))</f>
      </c>
      <c r="Q193">
        <f>IF(F193="","",IF(H193=XLOOKUP(F193,'Task Scoring Key'!$A:$A,'Task Scoring Key'!$E:$E,""),1,0))</f>
      </c>
      <c r="R193">
        <f>IF(COUNTA(K193:M193)=0,"",AVERAGE(K193:M193))</f>
      </c>
    </row>
    <row r="194">
      <c r="A194" t="inlineStr">
        <is>
          <t/>
        </is>
      </c>
      <c r="B194" t="inlineStr">
        <is>
          <t/>
        </is>
      </c>
      <c r="C194" t="inlineStr">
        <is>
          <t/>
        </is>
      </c>
      <c r="D194" t="inlineStr">
        <is>
          <t/>
        </is>
      </c>
      <c r="E194" t="inlineStr">
        <is>
          <t/>
        </is>
      </c>
      <c r="F194" t="inlineStr">
        <is>
          <t/>
        </is>
      </c>
      <c r="G194" t="inlineStr">
        <is>
          <t/>
        </is>
      </c>
      <c r="H194" t="inlineStr">
        <is>
          <t/>
        </is>
      </c>
      <c r="I194" t="inlineStr">
        <is>
          <t/>
        </is>
      </c>
      <c r="J194" t="inlineStr">
        <is>
          <t/>
        </is>
      </c>
      <c r="K194" t="inlineStr">
        <is>
          <t/>
        </is>
      </c>
      <c r="L194" t="inlineStr">
        <is>
          <t/>
        </is>
      </c>
      <c r="M194" t="inlineStr">
        <is>
          <t/>
        </is>
      </c>
      <c r="N194" t="inlineStr">
        <is>
          <t/>
        </is>
      </c>
      <c r="O194" t="inlineStr">
        <is>
          <t/>
        </is>
      </c>
      <c r="P194">
        <f>IF(F194="","",IF(G194=XLOOKUP(F194,'Task Scoring Key'!$A:$A,'Task Scoring Key'!$C:$C,""),2,IF(G194=XLOOKUP(F194,'Task Scoring Key'!$A:$A,'Task Scoring Key'!$D:$D,""),1,0)))</f>
      </c>
      <c r="Q194">
        <f>IF(F194="","",IF(H194=XLOOKUP(F194,'Task Scoring Key'!$A:$A,'Task Scoring Key'!$E:$E,""),1,0))</f>
      </c>
      <c r="R194">
        <f>IF(COUNTA(K194:M194)=0,"",AVERAGE(K194:M194))</f>
      </c>
    </row>
    <row r="195">
      <c r="A195" t="inlineStr">
        <is>
          <t/>
        </is>
      </c>
      <c r="B195" t="inlineStr">
        <is>
          <t/>
        </is>
      </c>
      <c r="C195" t="inlineStr">
        <is>
          <t/>
        </is>
      </c>
      <c r="D195" t="inlineStr">
        <is>
          <t/>
        </is>
      </c>
      <c r="E195" t="inlineStr">
        <is>
          <t/>
        </is>
      </c>
      <c r="F195" t="inlineStr">
        <is>
          <t/>
        </is>
      </c>
      <c r="G195" t="inlineStr">
        <is>
          <t/>
        </is>
      </c>
      <c r="H195" t="inlineStr">
        <is>
          <t/>
        </is>
      </c>
      <c r="I195" t="inlineStr">
        <is>
          <t/>
        </is>
      </c>
      <c r="J195" t="inlineStr">
        <is>
          <t/>
        </is>
      </c>
      <c r="K195" t="inlineStr">
        <is>
          <t/>
        </is>
      </c>
      <c r="L195" t="inlineStr">
        <is>
          <t/>
        </is>
      </c>
      <c r="M195" t="inlineStr">
        <is>
          <t/>
        </is>
      </c>
      <c r="N195" t="inlineStr">
        <is>
          <t/>
        </is>
      </c>
      <c r="O195" t="inlineStr">
        <is>
          <t/>
        </is>
      </c>
      <c r="P195">
        <f>IF(F195="","",IF(G195=XLOOKUP(F195,'Task Scoring Key'!$A:$A,'Task Scoring Key'!$C:$C,""),2,IF(G195=XLOOKUP(F195,'Task Scoring Key'!$A:$A,'Task Scoring Key'!$D:$D,""),1,0)))</f>
      </c>
      <c r="Q195">
        <f>IF(F195="","",IF(H195=XLOOKUP(F195,'Task Scoring Key'!$A:$A,'Task Scoring Key'!$E:$E,""),1,0))</f>
      </c>
      <c r="R195">
        <f>IF(COUNTA(K195:M195)=0,"",AVERAGE(K195:M195))</f>
      </c>
    </row>
    <row r="196">
      <c r="A196" t="inlineStr">
        <is>
          <t/>
        </is>
      </c>
      <c r="B196" t="inlineStr">
        <is>
          <t/>
        </is>
      </c>
      <c r="C196" t="inlineStr">
        <is>
          <t/>
        </is>
      </c>
      <c r="D196" t="inlineStr">
        <is>
          <t/>
        </is>
      </c>
      <c r="E196" t="inlineStr">
        <is>
          <t/>
        </is>
      </c>
      <c r="F196" t="inlineStr">
        <is>
          <t/>
        </is>
      </c>
      <c r="G196" t="inlineStr">
        <is>
          <t/>
        </is>
      </c>
      <c r="H196" t="inlineStr">
        <is>
          <t/>
        </is>
      </c>
      <c r="I196" t="inlineStr">
        <is>
          <t/>
        </is>
      </c>
      <c r="J196" t="inlineStr">
        <is>
          <t/>
        </is>
      </c>
      <c r="K196" t="inlineStr">
        <is>
          <t/>
        </is>
      </c>
      <c r="L196" t="inlineStr">
        <is>
          <t/>
        </is>
      </c>
      <c r="M196" t="inlineStr">
        <is>
          <t/>
        </is>
      </c>
      <c r="N196" t="inlineStr">
        <is>
          <t/>
        </is>
      </c>
      <c r="O196" t="inlineStr">
        <is>
          <t/>
        </is>
      </c>
      <c r="P196">
        <f>IF(F196="","",IF(G196=XLOOKUP(F196,'Task Scoring Key'!$A:$A,'Task Scoring Key'!$C:$C,""),2,IF(G196=XLOOKUP(F196,'Task Scoring Key'!$A:$A,'Task Scoring Key'!$D:$D,""),1,0)))</f>
      </c>
      <c r="Q196">
        <f>IF(F196="","",IF(H196=XLOOKUP(F196,'Task Scoring Key'!$A:$A,'Task Scoring Key'!$E:$E,""),1,0))</f>
      </c>
      <c r="R196">
        <f>IF(COUNTA(K196:M196)=0,"",AVERAGE(K196:M196))</f>
      </c>
    </row>
    <row r="197">
      <c r="A197" t="inlineStr">
        <is>
          <t/>
        </is>
      </c>
      <c r="B197" t="inlineStr">
        <is>
          <t/>
        </is>
      </c>
      <c r="C197" t="inlineStr">
        <is>
          <t/>
        </is>
      </c>
      <c r="D197" t="inlineStr">
        <is>
          <t/>
        </is>
      </c>
      <c r="E197" t="inlineStr">
        <is>
          <t/>
        </is>
      </c>
      <c r="F197" t="inlineStr">
        <is>
          <t/>
        </is>
      </c>
      <c r="G197" t="inlineStr">
        <is>
          <t/>
        </is>
      </c>
      <c r="H197" t="inlineStr">
        <is>
          <t/>
        </is>
      </c>
      <c r="I197" t="inlineStr">
        <is>
          <t/>
        </is>
      </c>
      <c r="J197" t="inlineStr">
        <is>
          <t/>
        </is>
      </c>
      <c r="K197" t="inlineStr">
        <is>
          <t/>
        </is>
      </c>
      <c r="L197" t="inlineStr">
        <is>
          <t/>
        </is>
      </c>
      <c r="M197" t="inlineStr">
        <is>
          <t/>
        </is>
      </c>
      <c r="N197" t="inlineStr">
        <is>
          <t/>
        </is>
      </c>
      <c r="O197" t="inlineStr">
        <is>
          <t/>
        </is>
      </c>
      <c r="P197">
        <f>IF(F197="","",IF(G197=XLOOKUP(F197,'Task Scoring Key'!$A:$A,'Task Scoring Key'!$C:$C,""),2,IF(G197=XLOOKUP(F197,'Task Scoring Key'!$A:$A,'Task Scoring Key'!$D:$D,""),1,0)))</f>
      </c>
      <c r="Q197">
        <f>IF(F197="","",IF(H197=XLOOKUP(F197,'Task Scoring Key'!$A:$A,'Task Scoring Key'!$E:$E,""),1,0))</f>
      </c>
      <c r="R197">
        <f>IF(COUNTA(K197:M197)=0,"",AVERAGE(K197:M197))</f>
      </c>
    </row>
    <row r="198">
      <c r="A198" t="inlineStr">
        <is>
          <t/>
        </is>
      </c>
      <c r="B198" t="inlineStr">
        <is>
          <t/>
        </is>
      </c>
      <c r="C198" t="inlineStr">
        <is>
          <t/>
        </is>
      </c>
      <c r="D198" t="inlineStr">
        <is>
          <t/>
        </is>
      </c>
      <c r="E198" t="inlineStr">
        <is>
          <t/>
        </is>
      </c>
      <c r="F198" t="inlineStr">
        <is>
          <t/>
        </is>
      </c>
      <c r="G198" t="inlineStr">
        <is>
          <t/>
        </is>
      </c>
      <c r="H198" t="inlineStr">
        <is>
          <t/>
        </is>
      </c>
      <c r="I198" t="inlineStr">
        <is>
          <t/>
        </is>
      </c>
      <c r="J198" t="inlineStr">
        <is>
          <t/>
        </is>
      </c>
      <c r="K198" t="inlineStr">
        <is>
          <t/>
        </is>
      </c>
      <c r="L198" t="inlineStr">
        <is>
          <t/>
        </is>
      </c>
      <c r="M198" t="inlineStr">
        <is>
          <t/>
        </is>
      </c>
      <c r="N198" t="inlineStr">
        <is>
          <t/>
        </is>
      </c>
      <c r="O198" t="inlineStr">
        <is>
          <t/>
        </is>
      </c>
      <c r="P198">
        <f>IF(F198="","",IF(G198=XLOOKUP(F198,'Task Scoring Key'!$A:$A,'Task Scoring Key'!$C:$C,""),2,IF(G198=XLOOKUP(F198,'Task Scoring Key'!$A:$A,'Task Scoring Key'!$D:$D,""),1,0)))</f>
      </c>
      <c r="Q198">
        <f>IF(F198="","",IF(H198=XLOOKUP(F198,'Task Scoring Key'!$A:$A,'Task Scoring Key'!$E:$E,""),1,0))</f>
      </c>
      <c r="R198">
        <f>IF(COUNTA(K198:M198)=0,"",AVERAGE(K198:M198))</f>
      </c>
    </row>
    <row r="199">
      <c r="A199" t="inlineStr">
        <is>
          <t/>
        </is>
      </c>
      <c r="B199" t="inlineStr">
        <is>
          <t/>
        </is>
      </c>
      <c r="C199" t="inlineStr">
        <is>
          <t/>
        </is>
      </c>
      <c r="D199" t="inlineStr">
        <is>
          <t/>
        </is>
      </c>
      <c r="E199" t="inlineStr">
        <is>
          <t/>
        </is>
      </c>
      <c r="F199" t="inlineStr">
        <is>
          <t/>
        </is>
      </c>
      <c r="G199" t="inlineStr">
        <is>
          <t/>
        </is>
      </c>
      <c r="H199" t="inlineStr">
        <is>
          <t/>
        </is>
      </c>
      <c r="I199" t="inlineStr">
        <is>
          <t/>
        </is>
      </c>
      <c r="J199" t="inlineStr">
        <is>
          <t/>
        </is>
      </c>
      <c r="K199" t="inlineStr">
        <is>
          <t/>
        </is>
      </c>
      <c r="L199" t="inlineStr">
        <is>
          <t/>
        </is>
      </c>
      <c r="M199" t="inlineStr">
        <is>
          <t/>
        </is>
      </c>
      <c r="N199" t="inlineStr">
        <is>
          <t/>
        </is>
      </c>
      <c r="O199" t="inlineStr">
        <is>
          <t/>
        </is>
      </c>
      <c r="P199">
        <f>IF(F199="","",IF(G199=XLOOKUP(F199,'Task Scoring Key'!$A:$A,'Task Scoring Key'!$C:$C,""),2,IF(G199=XLOOKUP(F199,'Task Scoring Key'!$A:$A,'Task Scoring Key'!$D:$D,""),1,0)))</f>
      </c>
      <c r="Q199">
        <f>IF(F199="","",IF(H199=XLOOKUP(F199,'Task Scoring Key'!$A:$A,'Task Scoring Key'!$E:$E,""),1,0))</f>
      </c>
      <c r="R199">
        <f>IF(COUNTA(K199:M199)=0,"",AVERAGE(K199:M199))</f>
      </c>
    </row>
    <row r="200">
      <c r="A200" t="inlineStr">
        <is>
          <t/>
        </is>
      </c>
      <c r="B200" t="inlineStr">
        <is>
          <t/>
        </is>
      </c>
      <c r="C200" t="inlineStr">
        <is>
          <t/>
        </is>
      </c>
      <c r="D200" t="inlineStr">
        <is>
          <t/>
        </is>
      </c>
      <c r="E200" t="inlineStr">
        <is>
          <t/>
        </is>
      </c>
      <c r="F200" t="inlineStr">
        <is>
          <t/>
        </is>
      </c>
      <c r="G200" t="inlineStr">
        <is>
          <t/>
        </is>
      </c>
      <c r="H200" t="inlineStr">
        <is>
          <t/>
        </is>
      </c>
      <c r="I200" t="inlineStr">
        <is>
          <t/>
        </is>
      </c>
      <c r="J200" t="inlineStr">
        <is>
          <t/>
        </is>
      </c>
      <c r="K200" t="inlineStr">
        <is>
          <t/>
        </is>
      </c>
      <c r="L200" t="inlineStr">
        <is>
          <t/>
        </is>
      </c>
      <c r="M200" t="inlineStr">
        <is>
          <t/>
        </is>
      </c>
      <c r="N200" t="inlineStr">
        <is>
          <t/>
        </is>
      </c>
      <c r="O200" t="inlineStr">
        <is>
          <t/>
        </is>
      </c>
      <c r="P200">
        <f>IF(F200="","",IF(G200=XLOOKUP(F200,'Task Scoring Key'!$A:$A,'Task Scoring Key'!$C:$C,""),2,IF(G200=XLOOKUP(F200,'Task Scoring Key'!$A:$A,'Task Scoring Key'!$D:$D,""),1,0)))</f>
      </c>
      <c r="Q200">
        <f>IF(F200="","",IF(H200=XLOOKUP(F200,'Task Scoring Key'!$A:$A,'Task Scoring Key'!$E:$E,""),1,0))</f>
      </c>
      <c r="R200">
        <f>IF(COUNTA(K200:M200)=0,"",AVERAGE(K200:M200))</f>
      </c>
    </row>
    <row r="201">
      <c r="A201" t="inlineStr">
        <is>
          <t/>
        </is>
      </c>
      <c r="B201" t="inlineStr">
        <is>
          <t/>
        </is>
      </c>
      <c r="C201" t="inlineStr">
        <is>
          <t/>
        </is>
      </c>
      <c r="D201" t="inlineStr">
        <is>
          <t/>
        </is>
      </c>
      <c r="E201" t="inlineStr">
        <is>
          <t/>
        </is>
      </c>
      <c r="F201" t="inlineStr">
        <is>
          <t/>
        </is>
      </c>
      <c r="G201" t="inlineStr">
        <is>
          <t/>
        </is>
      </c>
      <c r="H201" t="inlineStr">
        <is>
          <t/>
        </is>
      </c>
      <c r="I201" t="inlineStr">
        <is>
          <t/>
        </is>
      </c>
      <c r="J201" t="inlineStr">
        <is>
          <t/>
        </is>
      </c>
      <c r="K201" t="inlineStr">
        <is>
          <t/>
        </is>
      </c>
      <c r="L201" t="inlineStr">
        <is>
          <t/>
        </is>
      </c>
      <c r="M201" t="inlineStr">
        <is>
          <t/>
        </is>
      </c>
      <c r="N201" t="inlineStr">
        <is>
          <t/>
        </is>
      </c>
      <c r="O201" t="inlineStr">
        <is>
          <t/>
        </is>
      </c>
      <c r="P201">
        <f>IF(F201="","",IF(G201=XLOOKUP(F201,'Task Scoring Key'!$A:$A,'Task Scoring Key'!$C:$C,""),2,IF(G201=XLOOKUP(F201,'Task Scoring Key'!$A:$A,'Task Scoring Key'!$D:$D,""),1,0)))</f>
      </c>
      <c r="Q201">
        <f>IF(F201="","",IF(H201=XLOOKUP(F201,'Task Scoring Key'!$A:$A,'Task Scoring Key'!$E:$E,""),1,0))</f>
      </c>
      <c r="R201">
        <f>IF(COUNTA(K201:M201)=0,"",AVERAGE(K201:M201))</f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Timestamp</t>
        </is>
      </c>
      <c r="B1" t="inlineStr">
        <is>
          <t>Participant code</t>
        </is>
      </c>
      <c r="C1" t="inlineStr">
        <is>
          <t>Condition</t>
        </is>
      </c>
      <c r="D1" t="inlineStr">
        <is>
          <t>SUS1</t>
        </is>
      </c>
      <c r="E1" t="inlineStr">
        <is>
          <t>SUS2</t>
        </is>
      </c>
      <c r="F1" t="inlineStr">
        <is>
          <t>SUS3</t>
        </is>
      </c>
      <c r="G1" t="inlineStr">
        <is>
          <t>SUS4</t>
        </is>
      </c>
      <c r="H1" t="inlineStr">
        <is>
          <t>SUS5</t>
        </is>
      </c>
      <c r="I1" t="inlineStr">
        <is>
          <t>SUS6</t>
        </is>
      </c>
      <c r="J1" t="inlineStr">
        <is>
          <t>SUS7</t>
        </is>
      </c>
      <c r="K1" t="inlineStr">
        <is>
          <t>SUS8</t>
        </is>
      </c>
      <c r="L1" t="inlineStr">
        <is>
          <t>SUS9</t>
        </is>
      </c>
      <c r="M1" t="inlineStr">
        <is>
          <t>SUS10</t>
        </is>
      </c>
      <c r="N1" t="inlineStr">
        <is>
          <t>NASA Mental</t>
        </is>
      </c>
      <c r="O1" t="inlineStr">
        <is>
          <t>NASA Physical</t>
        </is>
      </c>
      <c r="P1" t="inlineStr">
        <is>
          <t>NASA Temporal</t>
        </is>
      </c>
      <c r="Q1" t="inlineStr">
        <is>
          <t>NASA Performance</t>
        </is>
      </c>
      <c r="R1" t="inlineStr">
        <is>
          <t>NASA Effort</t>
        </is>
      </c>
      <c r="S1" t="inlineStr">
        <is>
          <t>NASA Frustration</t>
        </is>
      </c>
      <c r="T1" t="inlineStr">
        <is>
          <t>Evidence item 1</t>
        </is>
      </c>
      <c r="U1" t="inlineStr">
        <is>
          <t>Evidence item 2</t>
        </is>
      </c>
      <c r="V1" t="inlineStr">
        <is>
          <t>Evidence item 3</t>
        </is>
      </c>
      <c r="W1" t="inlineStr">
        <is>
          <t>Evidence item 4</t>
        </is>
      </c>
      <c r="X1" t="inlineStr">
        <is>
          <t>Control item 1</t>
        </is>
      </c>
      <c r="Y1" t="inlineStr">
        <is>
          <t>Control item 2</t>
        </is>
      </c>
      <c r="Z1" t="inlineStr">
        <is>
          <t>Control item 3</t>
        </is>
      </c>
      <c r="AA1" t="inlineStr">
        <is>
          <t>Control item 4</t>
        </is>
      </c>
      <c r="AB1" t="inlineStr">
        <is>
          <t>SUS score</t>
        </is>
      </c>
      <c r="AC1" t="inlineStr">
        <is>
          <t>Raw NASA-TLX</t>
        </is>
      </c>
      <c r="AD1" t="inlineStr">
        <is>
          <t>Evidence mean</t>
        </is>
      </c>
      <c r="AE1" t="inlineStr">
        <is>
          <t>Control mean</t>
        </is>
      </c>
      <c r="AF1" t="inlineStr">
        <is>
          <t>Open feedback</t>
        </is>
      </c>
    </row>
    <row r="2">
      <c r="A2" t="inlineStr">
        <is>
          <t/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/>
        </is>
      </c>
      <c r="K2" t="inlineStr">
        <is>
          <t/>
        </is>
      </c>
      <c r="L2" t="inlineStr">
        <is>
          <t/>
        </is>
      </c>
      <c r="M2" t="inlineStr">
        <is>
          <t/>
        </is>
      </c>
      <c r="N2" t="inlineStr">
        <is>
          <t/>
        </is>
      </c>
      <c r="O2" t="inlineStr">
        <is>
          <t/>
        </is>
      </c>
      <c r="P2" t="inlineStr">
        <is>
          <t/>
        </is>
      </c>
      <c r="Q2" t="inlineStr">
        <is>
          <t/>
        </is>
      </c>
      <c r="R2" t="inlineStr">
        <is>
          <t/>
        </is>
      </c>
      <c r="S2" t="inlineStr">
        <is>
          <t/>
        </is>
      </c>
      <c r="T2" t="inlineStr">
        <is>
          <t/>
        </is>
      </c>
      <c r="U2" t="inlineStr">
        <is>
          <t/>
        </is>
      </c>
      <c r="V2" t="inlineStr">
        <is>
          <t/>
        </is>
      </c>
      <c r="W2" t="inlineStr">
        <is>
          <t/>
        </is>
      </c>
      <c r="X2" t="inlineStr">
        <is>
          <t/>
        </is>
      </c>
      <c r="Y2" t="inlineStr">
        <is>
          <t/>
        </is>
      </c>
      <c r="Z2" t="inlineStr">
        <is>
          <t/>
        </is>
      </c>
      <c r="AA2" t="inlineStr">
        <is>
          <t/>
        </is>
      </c>
      <c r="AB2">
        <f>IF(D2="","",((D2-1)+(5-E2)+(F2-1)+(5-G2)+(H2-1)+(5-I2)+(J2-1)+(5-K2)+(L2-1)+(5-M2))*2.5)</f>
      </c>
      <c r="AC2">
        <f>IF(N2="","",AVERAGE(N2:S2))</f>
      </c>
      <c r="AD2">
        <f>IF(T2="","",AVERAGE(T2:W2))</f>
      </c>
      <c r="AE2">
        <f>IF(X2="","",AVERAGE(X2:AA2))</f>
      </c>
      <c r="AF2" t="inlineStr">
        <is>
          <t/>
        </is>
      </c>
    </row>
    <row r="3">
      <c r="A3" t="inlineStr">
        <is>
          <t/>
        </is>
      </c>
      <c r="B3" t="inlineStr">
        <is>
          <t/>
        </is>
      </c>
      <c r="C3" t="inlineStr">
        <is>
          <t/>
        </is>
      </c>
      <c r="D3" t="inlineStr">
        <is>
          <t/>
        </is>
      </c>
      <c r="E3" t="inlineStr">
        <is>
          <t/>
        </is>
      </c>
      <c r="F3" t="inlineStr">
        <is>
          <t/>
        </is>
      </c>
      <c r="G3" t="inlineStr">
        <is>
          <t/>
        </is>
      </c>
      <c r="H3" t="inlineStr">
        <is>
          <t/>
        </is>
      </c>
      <c r="I3" t="inlineStr">
        <is>
          <t/>
        </is>
      </c>
      <c r="J3" t="inlineStr">
        <is>
          <t/>
        </is>
      </c>
      <c r="K3" t="inlineStr">
        <is>
          <t/>
        </is>
      </c>
      <c r="L3" t="inlineStr">
        <is>
          <t/>
        </is>
      </c>
      <c r="M3" t="inlineStr">
        <is>
          <t/>
        </is>
      </c>
      <c r="N3" t="inlineStr">
        <is>
          <t/>
        </is>
      </c>
      <c r="O3" t="inlineStr">
        <is>
          <t/>
        </is>
      </c>
      <c r="P3" t="inlineStr">
        <is>
          <t/>
        </is>
      </c>
      <c r="Q3" t="inlineStr">
        <is>
          <t/>
        </is>
      </c>
      <c r="R3" t="inlineStr">
        <is>
          <t/>
        </is>
      </c>
      <c r="S3" t="inlineStr">
        <is>
          <t/>
        </is>
      </c>
      <c r="T3" t="inlineStr">
        <is>
          <t/>
        </is>
      </c>
      <c r="U3" t="inlineStr">
        <is>
          <t/>
        </is>
      </c>
      <c r="V3" t="inlineStr">
        <is>
          <t/>
        </is>
      </c>
      <c r="W3" t="inlineStr">
        <is>
          <t/>
        </is>
      </c>
      <c r="X3" t="inlineStr">
        <is>
          <t/>
        </is>
      </c>
      <c r="Y3" t="inlineStr">
        <is>
          <t/>
        </is>
      </c>
      <c r="Z3" t="inlineStr">
        <is>
          <t/>
        </is>
      </c>
      <c r="AA3" t="inlineStr">
        <is>
          <t/>
        </is>
      </c>
      <c r="AB3">
        <f>IF(D3="","",((D3-1)+(5-E3)+(F3-1)+(5-G3)+(H3-1)+(5-I3)+(J3-1)+(5-K3)+(L3-1)+(5-M3))*2.5)</f>
      </c>
      <c r="AC3">
        <f>IF(N3="","",AVERAGE(N3:S3))</f>
      </c>
      <c r="AD3">
        <f>IF(T3="","",AVERAGE(T3:W3))</f>
      </c>
      <c r="AE3">
        <f>IF(X3="","",AVERAGE(X3:AA3))</f>
      </c>
      <c r="AF3" t="inlineStr">
        <is>
          <t/>
        </is>
      </c>
    </row>
    <row r="4">
      <c r="A4" t="inlineStr">
        <is>
          <t/>
        </is>
      </c>
      <c r="B4" t="inlineStr">
        <is>
          <t/>
        </is>
      </c>
      <c r="C4" t="inlineStr">
        <is>
          <t/>
        </is>
      </c>
      <c r="D4" t="inlineStr">
        <is>
          <t/>
        </is>
      </c>
      <c r="E4" t="inlineStr">
        <is>
          <t/>
        </is>
      </c>
      <c r="F4" t="inlineStr">
        <is>
          <t/>
        </is>
      </c>
      <c r="G4" t="inlineStr">
        <is>
          <t/>
        </is>
      </c>
      <c r="H4" t="inlineStr">
        <is>
          <t/>
        </is>
      </c>
      <c r="I4" t="inlineStr">
        <is>
          <t/>
        </is>
      </c>
      <c r="J4" t="inlineStr">
        <is>
          <t/>
        </is>
      </c>
      <c r="K4" t="inlineStr">
        <is>
          <t/>
        </is>
      </c>
      <c r="L4" t="inlineStr">
        <is>
          <t/>
        </is>
      </c>
      <c r="M4" t="inlineStr">
        <is>
          <t/>
        </is>
      </c>
      <c r="N4" t="inlineStr">
        <is>
          <t/>
        </is>
      </c>
      <c r="O4" t="inlineStr">
        <is>
          <t/>
        </is>
      </c>
      <c r="P4" t="inlineStr">
        <is>
          <t/>
        </is>
      </c>
      <c r="Q4" t="inlineStr">
        <is>
          <t/>
        </is>
      </c>
      <c r="R4" t="inlineStr">
        <is>
          <t/>
        </is>
      </c>
      <c r="S4" t="inlineStr">
        <is>
          <t/>
        </is>
      </c>
      <c r="T4" t="inlineStr">
        <is>
          <t/>
        </is>
      </c>
      <c r="U4" t="inlineStr">
        <is>
          <t/>
        </is>
      </c>
      <c r="V4" t="inlineStr">
        <is>
          <t/>
        </is>
      </c>
      <c r="W4" t="inlineStr">
        <is>
          <t/>
        </is>
      </c>
      <c r="X4" t="inlineStr">
        <is>
          <t/>
        </is>
      </c>
      <c r="Y4" t="inlineStr">
        <is>
          <t/>
        </is>
      </c>
      <c r="Z4" t="inlineStr">
        <is>
          <t/>
        </is>
      </c>
      <c r="AA4" t="inlineStr">
        <is>
          <t/>
        </is>
      </c>
      <c r="AB4">
        <f>IF(D4="","",((D4-1)+(5-E4)+(F4-1)+(5-G4)+(H4-1)+(5-I4)+(J4-1)+(5-K4)+(L4-1)+(5-M4))*2.5)</f>
      </c>
      <c r="AC4">
        <f>IF(N4="","",AVERAGE(N4:S4))</f>
      </c>
      <c r="AD4">
        <f>IF(T4="","",AVERAGE(T4:W4))</f>
      </c>
      <c r="AE4">
        <f>IF(X4="","",AVERAGE(X4:AA4))</f>
      </c>
      <c r="AF4" t="inlineStr">
        <is>
          <t/>
        </is>
      </c>
    </row>
    <row r="5">
      <c r="A5" t="inlineStr">
        <is>
          <t/>
        </is>
      </c>
      <c r="B5" t="inlineStr">
        <is>
          <t/>
        </is>
      </c>
      <c r="C5" t="inlineStr">
        <is>
          <t/>
        </is>
      </c>
      <c r="D5" t="inlineStr">
        <is>
          <t/>
        </is>
      </c>
      <c r="E5" t="inlineStr">
        <is>
          <t/>
        </is>
      </c>
      <c r="F5" t="inlineStr">
        <is>
          <t/>
        </is>
      </c>
      <c r="G5" t="inlineStr">
        <is>
          <t/>
        </is>
      </c>
      <c r="H5" t="inlineStr">
        <is>
          <t/>
        </is>
      </c>
      <c r="I5" t="inlineStr">
        <is>
          <t/>
        </is>
      </c>
      <c r="J5" t="inlineStr">
        <is>
          <t/>
        </is>
      </c>
      <c r="K5" t="inlineStr">
        <is>
          <t/>
        </is>
      </c>
      <c r="L5" t="inlineStr">
        <is>
          <t/>
        </is>
      </c>
      <c r="M5" t="inlineStr">
        <is>
          <t/>
        </is>
      </c>
      <c r="N5" t="inlineStr">
        <is>
          <t/>
        </is>
      </c>
      <c r="O5" t="inlineStr">
        <is>
          <t/>
        </is>
      </c>
      <c r="P5" t="inlineStr">
        <is>
          <t/>
        </is>
      </c>
      <c r="Q5" t="inlineStr">
        <is>
          <t/>
        </is>
      </c>
      <c r="R5" t="inlineStr">
        <is>
          <t/>
        </is>
      </c>
      <c r="S5" t="inlineStr">
        <is>
          <t/>
        </is>
      </c>
      <c r="T5" t="inlineStr">
        <is>
          <t/>
        </is>
      </c>
      <c r="U5" t="inlineStr">
        <is>
          <t/>
        </is>
      </c>
      <c r="V5" t="inlineStr">
        <is>
          <t/>
        </is>
      </c>
      <c r="W5" t="inlineStr">
        <is>
          <t/>
        </is>
      </c>
      <c r="X5" t="inlineStr">
        <is>
          <t/>
        </is>
      </c>
      <c r="Y5" t="inlineStr">
        <is>
          <t/>
        </is>
      </c>
      <c r="Z5" t="inlineStr">
        <is>
          <t/>
        </is>
      </c>
      <c r="AA5" t="inlineStr">
        <is>
          <t/>
        </is>
      </c>
      <c r="AB5">
        <f>IF(D5="","",((D5-1)+(5-E5)+(F5-1)+(5-G5)+(H5-1)+(5-I5)+(J5-1)+(5-K5)+(L5-1)+(5-M5))*2.5)</f>
      </c>
      <c r="AC5">
        <f>IF(N5="","",AVERAGE(N5:S5))</f>
      </c>
      <c r="AD5">
        <f>IF(T5="","",AVERAGE(T5:W5))</f>
      </c>
      <c r="AE5">
        <f>IF(X5="","",AVERAGE(X5:AA5))</f>
      </c>
      <c r="AF5" t="inlineStr">
        <is>
          <t/>
        </is>
      </c>
    </row>
    <row r="6">
      <c r="A6" t="inlineStr">
        <is>
          <t/>
        </is>
      </c>
      <c r="B6" t="inlineStr">
        <is>
          <t/>
        </is>
      </c>
      <c r="C6" t="inlineStr">
        <is>
          <t/>
        </is>
      </c>
      <c r="D6" t="inlineStr">
        <is>
          <t/>
        </is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/>
        </is>
      </c>
      <c r="K6" t="inlineStr">
        <is>
          <t/>
        </is>
      </c>
      <c r="L6" t="inlineStr">
        <is>
          <t/>
        </is>
      </c>
      <c r="M6" t="inlineStr">
        <is>
          <t/>
        </is>
      </c>
      <c r="N6" t="inlineStr">
        <is>
          <t/>
        </is>
      </c>
      <c r="O6" t="inlineStr">
        <is>
          <t/>
        </is>
      </c>
      <c r="P6" t="inlineStr">
        <is>
          <t/>
        </is>
      </c>
      <c r="Q6" t="inlineStr">
        <is>
          <t/>
        </is>
      </c>
      <c r="R6" t="inlineStr">
        <is>
          <t/>
        </is>
      </c>
      <c r="S6" t="inlineStr">
        <is>
          <t/>
        </is>
      </c>
      <c r="T6" t="inlineStr">
        <is>
          <t/>
        </is>
      </c>
      <c r="U6" t="inlineStr">
        <is>
          <t/>
        </is>
      </c>
      <c r="V6" t="inlineStr">
        <is>
          <t/>
        </is>
      </c>
      <c r="W6" t="inlineStr">
        <is>
          <t/>
        </is>
      </c>
      <c r="X6" t="inlineStr">
        <is>
          <t/>
        </is>
      </c>
      <c r="Y6" t="inlineStr">
        <is>
          <t/>
        </is>
      </c>
      <c r="Z6" t="inlineStr">
        <is>
          <t/>
        </is>
      </c>
      <c r="AA6" t="inlineStr">
        <is>
          <t/>
        </is>
      </c>
      <c r="AB6">
        <f>IF(D6="","",((D6-1)+(5-E6)+(F6-1)+(5-G6)+(H6-1)+(5-I6)+(J6-1)+(5-K6)+(L6-1)+(5-M6))*2.5)</f>
      </c>
      <c r="AC6">
        <f>IF(N6="","",AVERAGE(N6:S6))</f>
      </c>
      <c r="AD6">
        <f>IF(T6="","",AVERAGE(T6:W6))</f>
      </c>
      <c r="AE6">
        <f>IF(X6="","",AVERAGE(X6:AA6))</f>
      </c>
      <c r="AF6" t="inlineStr">
        <is>
          <t/>
        </is>
      </c>
    </row>
    <row r="7">
      <c r="A7" t="inlineStr">
        <is>
          <t/>
        </is>
      </c>
      <c r="B7" t="inlineStr">
        <is>
          <t/>
        </is>
      </c>
      <c r="C7" t="inlineStr">
        <is>
          <t/>
        </is>
      </c>
      <c r="D7" t="inlineStr">
        <is>
          <t/>
        </is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/>
        </is>
      </c>
      <c r="K7" t="inlineStr">
        <is>
          <t/>
        </is>
      </c>
      <c r="L7" t="inlineStr">
        <is>
          <t/>
        </is>
      </c>
      <c r="M7" t="inlineStr">
        <is>
          <t/>
        </is>
      </c>
      <c r="N7" t="inlineStr">
        <is>
          <t/>
        </is>
      </c>
      <c r="O7" t="inlineStr">
        <is>
          <t/>
        </is>
      </c>
      <c r="P7" t="inlineStr">
        <is>
          <t/>
        </is>
      </c>
      <c r="Q7" t="inlineStr">
        <is>
          <t/>
        </is>
      </c>
      <c r="R7" t="inlineStr">
        <is>
          <t/>
        </is>
      </c>
      <c r="S7" t="inlineStr">
        <is>
          <t/>
        </is>
      </c>
      <c r="T7" t="inlineStr">
        <is>
          <t/>
        </is>
      </c>
      <c r="U7" t="inlineStr">
        <is>
          <t/>
        </is>
      </c>
      <c r="V7" t="inlineStr">
        <is>
          <t/>
        </is>
      </c>
      <c r="W7" t="inlineStr">
        <is>
          <t/>
        </is>
      </c>
      <c r="X7" t="inlineStr">
        <is>
          <t/>
        </is>
      </c>
      <c r="Y7" t="inlineStr">
        <is>
          <t/>
        </is>
      </c>
      <c r="Z7" t="inlineStr">
        <is>
          <t/>
        </is>
      </c>
      <c r="AA7" t="inlineStr">
        <is>
          <t/>
        </is>
      </c>
      <c r="AB7">
        <f>IF(D7="","",((D7-1)+(5-E7)+(F7-1)+(5-G7)+(H7-1)+(5-I7)+(J7-1)+(5-K7)+(L7-1)+(5-M7))*2.5)</f>
      </c>
      <c r="AC7">
        <f>IF(N7="","",AVERAGE(N7:S7))</f>
      </c>
      <c r="AD7">
        <f>IF(T7="","",AVERAGE(T7:W7))</f>
      </c>
      <c r="AE7">
        <f>IF(X7="","",AVERAGE(X7:AA7))</f>
      </c>
      <c r="AF7" t="inlineStr">
        <is>
          <t/>
        </is>
      </c>
    </row>
    <row r="8">
      <c r="A8" t="inlineStr">
        <is>
          <t/>
        </is>
      </c>
      <c r="B8" t="inlineStr">
        <is>
          <t/>
        </is>
      </c>
      <c r="C8" t="inlineStr">
        <is>
          <t/>
        </is>
      </c>
      <c r="D8" t="inlineStr">
        <is>
          <t/>
        </is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/>
        </is>
      </c>
      <c r="K8" t="inlineStr">
        <is>
          <t/>
        </is>
      </c>
      <c r="L8" t="inlineStr">
        <is>
          <t/>
        </is>
      </c>
      <c r="M8" t="inlineStr">
        <is>
          <t/>
        </is>
      </c>
      <c r="N8" t="inlineStr">
        <is>
          <t/>
        </is>
      </c>
      <c r="O8" t="inlineStr">
        <is>
          <t/>
        </is>
      </c>
      <c r="P8" t="inlineStr">
        <is>
          <t/>
        </is>
      </c>
      <c r="Q8" t="inlineStr">
        <is>
          <t/>
        </is>
      </c>
      <c r="R8" t="inlineStr">
        <is>
          <t/>
        </is>
      </c>
      <c r="S8" t="inlineStr">
        <is>
          <t/>
        </is>
      </c>
      <c r="T8" t="inlineStr">
        <is>
          <t/>
        </is>
      </c>
      <c r="U8" t="inlineStr">
        <is>
          <t/>
        </is>
      </c>
      <c r="V8" t="inlineStr">
        <is>
          <t/>
        </is>
      </c>
      <c r="W8" t="inlineStr">
        <is>
          <t/>
        </is>
      </c>
      <c r="X8" t="inlineStr">
        <is>
          <t/>
        </is>
      </c>
      <c r="Y8" t="inlineStr">
        <is>
          <t/>
        </is>
      </c>
      <c r="Z8" t="inlineStr">
        <is>
          <t/>
        </is>
      </c>
      <c r="AA8" t="inlineStr">
        <is>
          <t/>
        </is>
      </c>
      <c r="AB8">
        <f>IF(D8="","",((D8-1)+(5-E8)+(F8-1)+(5-G8)+(H8-1)+(5-I8)+(J8-1)+(5-K8)+(L8-1)+(5-M8))*2.5)</f>
      </c>
      <c r="AC8">
        <f>IF(N8="","",AVERAGE(N8:S8))</f>
      </c>
      <c r="AD8">
        <f>IF(T8="","",AVERAGE(T8:W8))</f>
      </c>
      <c r="AE8">
        <f>IF(X8="","",AVERAGE(X8:AA8))</f>
      </c>
      <c r="AF8" t="inlineStr">
        <is>
          <t/>
        </is>
      </c>
    </row>
    <row r="9">
      <c r="A9" t="inlineStr">
        <is>
          <t/>
        </is>
      </c>
      <c r="B9" t="inlineStr">
        <is>
          <t/>
        </is>
      </c>
      <c r="C9" t="inlineStr">
        <is>
          <t/>
        </is>
      </c>
      <c r="D9" t="inlineStr">
        <is>
          <t/>
        </is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/>
        </is>
      </c>
      <c r="K9" t="inlineStr">
        <is>
          <t/>
        </is>
      </c>
      <c r="L9" t="inlineStr">
        <is>
          <t/>
        </is>
      </c>
      <c r="M9" t="inlineStr">
        <is>
          <t/>
        </is>
      </c>
      <c r="N9" t="inlineStr">
        <is>
          <t/>
        </is>
      </c>
      <c r="O9" t="inlineStr">
        <is>
          <t/>
        </is>
      </c>
      <c r="P9" t="inlineStr">
        <is>
          <t/>
        </is>
      </c>
      <c r="Q9" t="inlineStr">
        <is>
          <t/>
        </is>
      </c>
      <c r="R9" t="inlineStr">
        <is>
          <t/>
        </is>
      </c>
      <c r="S9" t="inlineStr">
        <is>
          <t/>
        </is>
      </c>
      <c r="T9" t="inlineStr">
        <is>
          <t/>
        </is>
      </c>
      <c r="U9" t="inlineStr">
        <is>
          <t/>
        </is>
      </c>
      <c r="V9" t="inlineStr">
        <is>
          <t/>
        </is>
      </c>
      <c r="W9" t="inlineStr">
        <is>
          <t/>
        </is>
      </c>
      <c r="X9" t="inlineStr">
        <is>
          <t/>
        </is>
      </c>
      <c r="Y9" t="inlineStr">
        <is>
          <t/>
        </is>
      </c>
      <c r="Z9" t="inlineStr">
        <is>
          <t/>
        </is>
      </c>
      <c r="AA9" t="inlineStr">
        <is>
          <t/>
        </is>
      </c>
      <c r="AB9">
        <f>IF(D9="","",((D9-1)+(5-E9)+(F9-1)+(5-G9)+(H9-1)+(5-I9)+(J9-1)+(5-K9)+(L9-1)+(5-M9))*2.5)</f>
      </c>
      <c r="AC9">
        <f>IF(N9="","",AVERAGE(N9:S9))</f>
      </c>
      <c r="AD9">
        <f>IF(T9="","",AVERAGE(T9:W9))</f>
      </c>
      <c r="AE9">
        <f>IF(X9="","",AVERAGE(X9:AA9))</f>
      </c>
      <c r="AF9" t="inlineStr">
        <is>
          <t/>
        </is>
      </c>
    </row>
    <row r="10">
      <c r="A10" t="inlineStr">
        <is>
          <t/>
        </is>
      </c>
      <c r="B10" t="inlineStr">
        <is>
          <t/>
        </is>
      </c>
      <c r="C10" t="inlineStr">
        <is>
          <t/>
        </is>
      </c>
      <c r="D10" t="inlineStr">
        <is>
          <t/>
        </is>
      </c>
      <c r="E10" t="inlineStr">
        <is>
          <t/>
        </is>
      </c>
      <c r="F10" t="inlineStr">
        <is>
          <t/>
        </is>
      </c>
      <c r="G10" t="inlineStr">
        <is>
          <t/>
        </is>
      </c>
      <c r="H10" t="inlineStr">
        <is>
          <t/>
        </is>
      </c>
      <c r="I10" t="inlineStr">
        <is>
          <t/>
        </is>
      </c>
      <c r="J10" t="inlineStr">
        <is>
          <t/>
        </is>
      </c>
      <c r="K10" t="inlineStr">
        <is>
          <t/>
        </is>
      </c>
      <c r="L10" t="inlineStr">
        <is>
          <t/>
        </is>
      </c>
      <c r="M10" t="inlineStr">
        <is>
          <t/>
        </is>
      </c>
      <c r="N10" t="inlineStr">
        <is>
          <t/>
        </is>
      </c>
      <c r="O10" t="inlineStr">
        <is>
          <t/>
        </is>
      </c>
      <c r="P10" t="inlineStr">
        <is>
          <t/>
        </is>
      </c>
      <c r="Q10" t="inlineStr">
        <is>
          <t/>
        </is>
      </c>
      <c r="R10" t="inlineStr">
        <is>
          <t/>
        </is>
      </c>
      <c r="S10" t="inlineStr">
        <is>
          <t/>
        </is>
      </c>
      <c r="T10" t="inlineStr">
        <is>
          <t/>
        </is>
      </c>
      <c r="U10" t="inlineStr">
        <is>
          <t/>
        </is>
      </c>
      <c r="V10" t="inlineStr">
        <is>
          <t/>
        </is>
      </c>
      <c r="W10" t="inlineStr">
        <is>
          <t/>
        </is>
      </c>
      <c r="X10" t="inlineStr">
        <is>
          <t/>
        </is>
      </c>
      <c r="Y10" t="inlineStr">
        <is>
          <t/>
        </is>
      </c>
      <c r="Z10" t="inlineStr">
        <is>
          <t/>
        </is>
      </c>
      <c r="AA10" t="inlineStr">
        <is>
          <t/>
        </is>
      </c>
      <c r="AB10">
        <f>IF(D10="","",((D10-1)+(5-E10)+(F10-1)+(5-G10)+(H10-1)+(5-I10)+(J10-1)+(5-K10)+(L10-1)+(5-M10))*2.5)</f>
      </c>
      <c r="AC10">
        <f>IF(N10="","",AVERAGE(N10:S10))</f>
      </c>
      <c r="AD10">
        <f>IF(T10="","",AVERAGE(T10:W10))</f>
      </c>
      <c r="AE10">
        <f>IF(X10="","",AVERAGE(X10:AA10))</f>
      </c>
      <c r="AF10" t="inlineStr">
        <is>
          <t/>
        </is>
      </c>
    </row>
    <row r="11">
      <c r="A11" t="inlineStr">
        <is>
          <t/>
        </is>
      </c>
      <c r="B11" t="inlineStr">
        <is>
          <t/>
        </is>
      </c>
      <c r="C11" t="inlineStr">
        <is>
          <t/>
        </is>
      </c>
      <c r="D11" t="inlineStr">
        <is>
          <t/>
        </is>
      </c>
      <c r="E11" t="inlineStr">
        <is>
          <t/>
        </is>
      </c>
      <c r="F11" t="inlineStr">
        <is>
          <t/>
        </is>
      </c>
      <c r="G11" t="inlineStr">
        <is>
          <t/>
        </is>
      </c>
      <c r="H11" t="inlineStr">
        <is>
          <t/>
        </is>
      </c>
      <c r="I11" t="inlineStr">
        <is>
          <t/>
        </is>
      </c>
      <c r="J11" t="inlineStr">
        <is>
          <t/>
        </is>
      </c>
      <c r="K11" t="inlineStr">
        <is>
          <t/>
        </is>
      </c>
      <c r="L11" t="inlineStr">
        <is>
          <t/>
        </is>
      </c>
      <c r="M11" t="inlineStr">
        <is>
          <t/>
        </is>
      </c>
      <c r="N11" t="inlineStr">
        <is>
          <t/>
        </is>
      </c>
      <c r="O11" t="inlineStr">
        <is>
          <t/>
        </is>
      </c>
      <c r="P11" t="inlineStr">
        <is>
          <t/>
        </is>
      </c>
      <c r="Q11" t="inlineStr">
        <is>
          <t/>
        </is>
      </c>
      <c r="R11" t="inlineStr">
        <is>
          <t/>
        </is>
      </c>
      <c r="S11" t="inlineStr">
        <is>
          <t/>
        </is>
      </c>
      <c r="T11" t="inlineStr">
        <is>
          <t/>
        </is>
      </c>
      <c r="U11" t="inlineStr">
        <is>
          <t/>
        </is>
      </c>
      <c r="V11" t="inlineStr">
        <is>
          <t/>
        </is>
      </c>
      <c r="W11" t="inlineStr">
        <is>
          <t/>
        </is>
      </c>
      <c r="X11" t="inlineStr">
        <is>
          <t/>
        </is>
      </c>
      <c r="Y11" t="inlineStr">
        <is>
          <t/>
        </is>
      </c>
      <c r="Z11" t="inlineStr">
        <is>
          <t/>
        </is>
      </c>
      <c r="AA11" t="inlineStr">
        <is>
          <t/>
        </is>
      </c>
      <c r="AB11">
        <f>IF(D11="","",((D11-1)+(5-E11)+(F11-1)+(5-G11)+(H11-1)+(5-I11)+(J11-1)+(5-K11)+(L11-1)+(5-M11))*2.5)</f>
      </c>
      <c r="AC11">
        <f>IF(N11="","",AVERAGE(N11:S11))</f>
      </c>
      <c r="AD11">
        <f>IF(T11="","",AVERAGE(T11:W11))</f>
      </c>
      <c r="AE11">
        <f>IF(X11="","",AVERAGE(X11:AA11))</f>
      </c>
      <c r="AF11" t="inlineStr">
        <is>
          <t/>
        </is>
      </c>
    </row>
    <row r="12">
      <c r="A12" t="inlineStr">
        <is>
          <t/>
        </is>
      </c>
      <c r="B12" t="inlineStr">
        <is>
          <t/>
        </is>
      </c>
      <c r="C12" t="inlineStr">
        <is>
          <t/>
        </is>
      </c>
      <c r="D12" t="inlineStr">
        <is>
          <t/>
        </is>
      </c>
      <c r="E12" t="inlineStr">
        <is>
          <t/>
        </is>
      </c>
      <c r="F12" t="inlineStr">
        <is>
          <t/>
        </is>
      </c>
      <c r="G12" t="inlineStr">
        <is>
          <t/>
        </is>
      </c>
      <c r="H12" t="inlineStr">
        <is>
          <t/>
        </is>
      </c>
      <c r="I12" t="inlineStr">
        <is>
          <t/>
        </is>
      </c>
      <c r="J12" t="inlineStr">
        <is>
          <t/>
        </is>
      </c>
      <c r="K12" t="inlineStr">
        <is>
          <t/>
        </is>
      </c>
      <c r="L12" t="inlineStr">
        <is>
          <t/>
        </is>
      </c>
      <c r="M12" t="inlineStr">
        <is>
          <t/>
        </is>
      </c>
      <c r="N12" t="inlineStr">
        <is>
          <t/>
        </is>
      </c>
      <c r="O12" t="inlineStr">
        <is>
          <t/>
        </is>
      </c>
      <c r="P12" t="inlineStr">
        <is>
          <t/>
        </is>
      </c>
      <c r="Q12" t="inlineStr">
        <is>
          <t/>
        </is>
      </c>
      <c r="R12" t="inlineStr">
        <is>
          <t/>
        </is>
      </c>
      <c r="S12" t="inlineStr">
        <is>
          <t/>
        </is>
      </c>
      <c r="T12" t="inlineStr">
        <is>
          <t/>
        </is>
      </c>
      <c r="U12" t="inlineStr">
        <is>
          <t/>
        </is>
      </c>
      <c r="V12" t="inlineStr">
        <is>
          <t/>
        </is>
      </c>
      <c r="W12" t="inlineStr">
        <is>
          <t/>
        </is>
      </c>
      <c r="X12" t="inlineStr">
        <is>
          <t/>
        </is>
      </c>
      <c r="Y12" t="inlineStr">
        <is>
          <t/>
        </is>
      </c>
      <c r="Z12" t="inlineStr">
        <is>
          <t/>
        </is>
      </c>
      <c r="AA12" t="inlineStr">
        <is>
          <t/>
        </is>
      </c>
      <c r="AB12">
        <f>IF(D12="","",((D12-1)+(5-E12)+(F12-1)+(5-G12)+(H12-1)+(5-I12)+(J12-1)+(5-K12)+(L12-1)+(5-M12))*2.5)</f>
      </c>
      <c r="AC12">
        <f>IF(N12="","",AVERAGE(N12:S12))</f>
      </c>
      <c r="AD12">
        <f>IF(T12="","",AVERAGE(T12:W12))</f>
      </c>
      <c r="AE12">
        <f>IF(X12="","",AVERAGE(X12:AA12))</f>
      </c>
      <c r="AF12" t="inlineStr">
        <is>
          <t/>
        </is>
      </c>
    </row>
    <row r="13">
      <c r="A13" t="inlineStr">
        <is>
          <t/>
        </is>
      </c>
      <c r="B13" t="inlineStr">
        <is>
          <t/>
        </is>
      </c>
      <c r="C13" t="inlineStr">
        <is>
          <t/>
        </is>
      </c>
      <c r="D13" t="inlineStr">
        <is>
          <t/>
        </is>
      </c>
      <c r="E13" t="inlineStr">
        <is>
          <t/>
        </is>
      </c>
      <c r="F13" t="inlineStr">
        <is>
          <t/>
        </is>
      </c>
      <c r="G13" t="inlineStr">
        <is>
          <t/>
        </is>
      </c>
      <c r="H13" t="inlineStr">
        <is>
          <t/>
        </is>
      </c>
      <c r="I13" t="inlineStr">
        <is>
          <t/>
        </is>
      </c>
      <c r="J13" t="inlineStr">
        <is>
          <t/>
        </is>
      </c>
      <c r="K13" t="inlineStr">
        <is>
          <t/>
        </is>
      </c>
      <c r="L13" t="inlineStr">
        <is>
          <t/>
        </is>
      </c>
      <c r="M13" t="inlineStr">
        <is>
          <t/>
        </is>
      </c>
      <c r="N13" t="inlineStr">
        <is>
          <t/>
        </is>
      </c>
      <c r="O13" t="inlineStr">
        <is>
          <t/>
        </is>
      </c>
      <c r="P13" t="inlineStr">
        <is>
          <t/>
        </is>
      </c>
      <c r="Q13" t="inlineStr">
        <is>
          <t/>
        </is>
      </c>
      <c r="R13" t="inlineStr">
        <is>
          <t/>
        </is>
      </c>
      <c r="S13" t="inlineStr">
        <is>
          <t/>
        </is>
      </c>
      <c r="T13" t="inlineStr">
        <is>
          <t/>
        </is>
      </c>
      <c r="U13" t="inlineStr">
        <is>
          <t/>
        </is>
      </c>
      <c r="V13" t="inlineStr">
        <is>
          <t/>
        </is>
      </c>
      <c r="W13" t="inlineStr">
        <is>
          <t/>
        </is>
      </c>
      <c r="X13" t="inlineStr">
        <is>
          <t/>
        </is>
      </c>
      <c r="Y13" t="inlineStr">
        <is>
          <t/>
        </is>
      </c>
      <c r="Z13" t="inlineStr">
        <is>
          <t/>
        </is>
      </c>
      <c r="AA13" t="inlineStr">
        <is>
          <t/>
        </is>
      </c>
      <c r="AB13">
        <f>IF(D13="","",((D13-1)+(5-E13)+(F13-1)+(5-G13)+(H13-1)+(5-I13)+(J13-1)+(5-K13)+(L13-1)+(5-M13))*2.5)</f>
      </c>
      <c r="AC13">
        <f>IF(N13="","",AVERAGE(N13:S13))</f>
      </c>
      <c r="AD13">
        <f>IF(T13="","",AVERAGE(T13:W13))</f>
      </c>
      <c r="AE13">
        <f>IF(X13="","",AVERAGE(X13:AA13))</f>
      </c>
      <c r="AF13" t="inlineStr">
        <is>
          <t/>
        </is>
      </c>
    </row>
    <row r="14">
      <c r="A14" t="inlineStr">
        <is>
          <t/>
        </is>
      </c>
      <c r="B14" t="inlineStr">
        <is>
          <t/>
        </is>
      </c>
      <c r="C14" t="inlineStr">
        <is>
          <t/>
        </is>
      </c>
      <c r="D14" t="inlineStr">
        <is>
          <t/>
        </is>
      </c>
      <c r="E14" t="inlineStr">
        <is>
          <t/>
        </is>
      </c>
      <c r="F14" t="inlineStr">
        <is>
          <t/>
        </is>
      </c>
      <c r="G14" t="inlineStr">
        <is>
          <t/>
        </is>
      </c>
      <c r="H14" t="inlineStr">
        <is>
          <t/>
        </is>
      </c>
      <c r="I14" t="inlineStr">
        <is>
          <t/>
        </is>
      </c>
      <c r="J14" t="inlineStr">
        <is>
          <t/>
        </is>
      </c>
      <c r="K14" t="inlineStr">
        <is>
          <t/>
        </is>
      </c>
      <c r="L14" t="inlineStr">
        <is>
          <t/>
        </is>
      </c>
      <c r="M14" t="inlineStr">
        <is>
          <t/>
        </is>
      </c>
      <c r="N14" t="inlineStr">
        <is>
          <t/>
        </is>
      </c>
      <c r="O14" t="inlineStr">
        <is>
          <t/>
        </is>
      </c>
      <c r="P14" t="inlineStr">
        <is>
          <t/>
        </is>
      </c>
      <c r="Q14" t="inlineStr">
        <is>
          <t/>
        </is>
      </c>
      <c r="R14" t="inlineStr">
        <is>
          <t/>
        </is>
      </c>
      <c r="S14" t="inlineStr">
        <is>
          <t/>
        </is>
      </c>
      <c r="T14" t="inlineStr">
        <is>
          <t/>
        </is>
      </c>
      <c r="U14" t="inlineStr">
        <is>
          <t/>
        </is>
      </c>
      <c r="V14" t="inlineStr">
        <is>
          <t/>
        </is>
      </c>
      <c r="W14" t="inlineStr">
        <is>
          <t/>
        </is>
      </c>
      <c r="X14" t="inlineStr">
        <is>
          <t/>
        </is>
      </c>
      <c r="Y14" t="inlineStr">
        <is>
          <t/>
        </is>
      </c>
      <c r="Z14" t="inlineStr">
        <is>
          <t/>
        </is>
      </c>
      <c r="AA14" t="inlineStr">
        <is>
          <t/>
        </is>
      </c>
      <c r="AB14">
        <f>IF(D14="","",((D14-1)+(5-E14)+(F14-1)+(5-G14)+(H14-1)+(5-I14)+(J14-1)+(5-K14)+(L14-1)+(5-M14))*2.5)</f>
      </c>
      <c r="AC14">
        <f>IF(N14="","",AVERAGE(N14:S14))</f>
      </c>
      <c r="AD14">
        <f>IF(T14="","",AVERAGE(T14:W14))</f>
      </c>
      <c r="AE14">
        <f>IF(X14="","",AVERAGE(X14:AA14))</f>
      </c>
      <c r="AF14" t="inlineStr">
        <is>
          <t/>
        </is>
      </c>
    </row>
    <row r="15">
      <c r="A15" t="inlineStr">
        <is>
          <t/>
        </is>
      </c>
      <c r="B15" t="inlineStr">
        <is>
          <t/>
        </is>
      </c>
      <c r="C15" t="inlineStr">
        <is>
          <t/>
        </is>
      </c>
      <c r="D15" t="inlineStr">
        <is>
          <t/>
        </is>
      </c>
      <c r="E15" t="inlineStr">
        <is>
          <t/>
        </is>
      </c>
      <c r="F15" t="inlineStr">
        <is>
          <t/>
        </is>
      </c>
      <c r="G15" t="inlineStr">
        <is>
          <t/>
        </is>
      </c>
      <c r="H15" t="inlineStr">
        <is>
          <t/>
        </is>
      </c>
      <c r="I15" t="inlineStr">
        <is>
          <t/>
        </is>
      </c>
      <c r="J15" t="inlineStr">
        <is>
          <t/>
        </is>
      </c>
      <c r="K15" t="inlineStr">
        <is>
          <t/>
        </is>
      </c>
      <c r="L15" t="inlineStr">
        <is>
          <t/>
        </is>
      </c>
      <c r="M15" t="inlineStr">
        <is>
          <t/>
        </is>
      </c>
      <c r="N15" t="inlineStr">
        <is>
          <t/>
        </is>
      </c>
      <c r="O15" t="inlineStr">
        <is>
          <t/>
        </is>
      </c>
      <c r="P15" t="inlineStr">
        <is>
          <t/>
        </is>
      </c>
      <c r="Q15" t="inlineStr">
        <is>
          <t/>
        </is>
      </c>
      <c r="R15" t="inlineStr">
        <is>
          <t/>
        </is>
      </c>
      <c r="S15" t="inlineStr">
        <is>
          <t/>
        </is>
      </c>
      <c r="T15" t="inlineStr">
        <is>
          <t/>
        </is>
      </c>
      <c r="U15" t="inlineStr">
        <is>
          <t/>
        </is>
      </c>
      <c r="V15" t="inlineStr">
        <is>
          <t/>
        </is>
      </c>
      <c r="W15" t="inlineStr">
        <is>
          <t/>
        </is>
      </c>
      <c r="X15" t="inlineStr">
        <is>
          <t/>
        </is>
      </c>
      <c r="Y15" t="inlineStr">
        <is>
          <t/>
        </is>
      </c>
      <c r="Z15" t="inlineStr">
        <is>
          <t/>
        </is>
      </c>
      <c r="AA15" t="inlineStr">
        <is>
          <t/>
        </is>
      </c>
      <c r="AB15">
        <f>IF(D15="","",((D15-1)+(5-E15)+(F15-1)+(5-G15)+(H15-1)+(5-I15)+(J15-1)+(5-K15)+(L15-1)+(5-M15))*2.5)</f>
      </c>
      <c r="AC15">
        <f>IF(N15="","",AVERAGE(N15:S15))</f>
      </c>
      <c r="AD15">
        <f>IF(T15="","",AVERAGE(T15:W15))</f>
      </c>
      <c r="AE15">
        <f>IF(X15="","",AVERAGE(X15:AA15))</f>
      </c>
      <c r="AF15" t="inlineStr">
        <is>
          <t/>
        </is>
      </c>
    </row>
    <row r="16">
      <c r="A16" t="inlineStr">
        <is>
          <t/>
        </is>
      </c>
      <c r="B16" t="inlineStr">
        <is>
          <t/>
        </is>
      </c>
      <c r="C16" t="inlineStr">
        <is>
          <t/>
        </is>
      </c>
      <c r="D16" t="inlineStr">
        <is>
          <t/>
        </is>
      </c>
      <c r="E16" t="inlineStr">
        <is>
          <t/>
        </is>
      </c>
      <c r="F16" t="inlineStr">
        <is>
          <t/>
        </is>
      </c>
      <c r="G16" t="inlineStr">
        <is>
          <t/>
        </is>
      </c>
      <c r="H16" t="inlineStr">
        <is>
          <t/>
        </is>
      </c>
      <c r="I16" t="inlineStr">
        <is>
          <t/>
        </is>
      </c>
      <c r="J16" t="inlineStr">
        <is>
          <t/>
        </is>
      </c>
      <c r="K16" t="inlineStr">
        <is>
          <t/>
        </is>
      </c>
      <c r="L16" t="inlineStr">
        <is>
          <t/>
        </is>
      </c>
      <c r="M16" t="inlineStr">
        <is>
          <t/>
        </is>
      </c>
      <c r="N16" t="inlineStr">
        <is>
          <t/>
        </is>
      </c>
      <c r="O16" t="inlineStr">
        <is>
          <t/>
        </is>
      </c>
      <c r="P16" t="inlineStr">
        <is>
          <t/>
        </is>
      </c>
      <c r="Q16" t="inlineStr">
        <is>
          <t/>
        </is>
      </c>
      <c r="R16" t="inlineStr">
        <is>
          <t/>
        </is>
      </c>
      <c r="S16" t="inlineStr">
        <is>
          <t/>
        </is>
      </c>
      <c r="T16" t="inlineStr">
        <is>
          <t/>
        </is>
      </c>
      <c r="U16" t="inlineStr">
        <is>
          <t/>
        </is>
      </c>
      <c r="V16" t="inlineStr">
        <is>
          <t/>
        </is>
      </c>
      <c r="W16" t="inlineStr">
        <is>
          <t/>
        </is>
      </c>
      <c r="X16" t="inlineStr">
        <is>
          <t/>
        </is>
      </c>
      <c r="Y16" t="inlineStr">
        <is>
          <t/>
        </is>
      </c>
      <c r="Z16" t="inlineStr">
        <is>
          <t/>
        </is>
      </c>
      <c r="AA16" t="inlineStr">
        <is>
          <t/>
        </is>
      </c>
      <c r="AB16">
        <f>IF(D16="","",((D16-1)+(5-E16)+(F16-1)+(5-G16)+(H16-1)+(5-I16)+(J16-1)+(5-K16)+(L16-1)+(5-M16))*2.5)</f>
      </c>
      <c r="AC16">
        <f>IF(N16="","",AVERAGE(N16:S16))</f>
      </c>
      <c r="AD16">
        <f>IF(T16="","",AVERAGE(T16:W16))</f>
      </c>
      <c r="AE16">
        <f>IF(X16="","",AVERAGE(X16:AA16))</f>
      </c>
      <c r="AF16" t="inlineStr">
        <is>
          <t/>
        </is>
      </c>
    </row>
    <row r="17">
      <c r="A17" t="inlineStr">
        <is>
          <t/>
        </is>
      </c>
      <c r="B17" t="inlineStr">
        <is>
          <t/>
        </is>
      </c>
      <c r="C17" t="inlineStr">
        <is>
          <t/>
        </is>
      </c>
      <c r="D17" t="inlineStr">
        <is>
          <t/>
        </is>
      </c>
      <c r="E17" t="inlineStr">
        <is>
          <t/>
        </is>
      </c>
      <c r="F17" t="inlineStr">
        <is>
          <t/>
        </is>
      </c>
      <c r="G17" t="inlineStr">
        <is>
          <t/>
        </is>
      </c>
      <c r="H17" t="inlineStr">
        <is>
          <t/>
        </is>
      </c>
      <c r="I17" t="inlineStr">
        <is>
          <t/>
        </is>
      </c>
      <c r="J17" t="inlineStr">
        <is>
          <t/>
        </is>
      </c>
      <c r="K17" t="inlineStr">
        <is>
          <t/>
        </is>
      </c>
      <c r="L17" t="inlineStr">
        <is>
          <t/>
        </is>
      </c>
      <c r="M17" t="inlineStr">
        <is>
          <t/>
        </is>
      </c>
      <c r="N17" t="inlineStr">
        <is>
          <t/>
        </is>
      </c>
      <c r="O17" t="inlineStr">
        <is>
          <t/>
        </is>
      </c>
      <c r="P17" t="inlineStr">
        <is>
          <t/>
        </is>
      </c>
      <c r="Q17" t="inlineStr">
        <is>
          <t/>
        </is>
      </c>
      <c r="R17" t="inlineStr">
        <is>
          <t/>
        </is>
      </c>
      <c r="S17" t="inlineStr">
        <is>
          <t/>
        </is>
      </c>
      <c r="T17" t="inlineStr">
        <is>
          <t/>
        </is>
      </c>
      <c r="U17" t="inlineStr">
        <is>
          <t/>
        </is>
      </c>
      <c r="V17" t="inlineStr">
        <is>
          <t/>
        </is>
      </c>
      <c r="W17" t="inlineStr">
        <is>
          <t/>
        </is>
      </c>
      <c r="X17" t="inlineStr">
        <is>
          <t/>
        </is>
      </c>
      <c r="Y17" t="inlineStr">
        <is>
          <t/>
        </is>
      </c>
      <c r="Z17" t="inlineStr">
        <is>
          <t/>
        </is>
      </c>
      <c r="AA17" t="inlineStr">
        <is>
          <t/>
        </is>
      </c>
      <c r="AB17">
        <f>IF(D17="","",((D17-1)+(5-E17)+(F17-1)+(5-G17)+(H17-1)+(5-I17)+(J17-1)+(5-K17)+(L17-1)+(5-M17))*2.5)</f>
      </c>
      <c r="AC17">
        <f>IF(N17="","",AVERAGE(N17:S17))</f>
      </c>
      <c r="AD17">
        <f>IF(T17="","",AVERAGE(T17:W17))</f>
      </c>
      <c r="AE17">
        <f>IF(X17="","",AVERAGE(X17:AA17))</f>
      </c>
      <c r="AF17" t="inlineStr">
        <is>
          <t/>
        </is>
      </c>
    </row>
    <row r="18">
      <c r="A18" t="inlineStr">
        <is>
          <t/>
        </is>
      </c>
      <c r="B18" t="inlineStr">
        <is>
          <t/>
        </is>
      </c>
      <c r="C18" t="inlineStr">
        <is>
          <t/>
        </is>
      </c>
      <c r="D18" t="inlineStr">
        <is>
          <t/>
        </is>
      </c>
      <c r="E18" t="inlineStr">
        <is>
          <t/>
        </is>
      </c>
      <c r="F18" t="inlineStr">
        <is>
          <t/>
        </is>
      </c>
      <c r="G18" t="inlineStr">
        <is>
          <t/>
        </is>
      </c>
      <c r="H18" t="inlineStr">
        <is>
          <t/>
        </is>
      </c>
      <c r="I18" t="inlineStr">
        <is>
          <t/>
        </is>
      </c>
      <c r="J18" t="inlineStr">
        <is>
          <t/>
        </is>
      </c>
      <c r="K18" t="inlineStr">
        <is>
          <t/>
        </is>
      </c>
      <c r="L18" t="inlineStr">
        <is>
          <t/>
        </is>
      </c>
      <c r="M18" t="inlineStr">
        <is>
          <t/>
        </is>
      </c>
      <c r="N18" t="inlineStr">
        <is>
          <t/>
        </is>
      </c>
      <c r="O18" t="inlineStr">
        <is>
          <t/>
        </is>
      </c>
      <c r="P18" t="inlineStr">
        <is>
          <t/>
        </is>
      </c>
      <c r="Q18" t="inlineStr">
        <is>
          <t/>
        </is>
      </c>
      <c r="R18" t="inlineStr">
        <is>
          <t/>
        </is>
      </c>
      <c r="S18" t="inlineStr">
        <is>
          <t/>
        </is>
      </c>
      <c r="T18" t="inlineStr">
        <is>
          <t/>
        </is>
      </c>
      <c r="U18" t="inlineStr">
        <is>
          <t/>
        </is>
      </c>
      <c r="V18" t="inlineStr">
        <is>
          <t/>
        </is>
      </c>
      <c r="W18" t="inlineStr">
        <is>
          <t/>
        </is>
      </c>
      <c r="X18" t="inlineStr">
        <is>
          <t/>
        </is>
      </c>
      <c r="Y18" t="inlineStr">
        <is>
          <t/>
        </is>
      </c>
      <c r="Z18" t="inlineStr">
        <is>
          <t/>
        </is>
      </c>
      <c r="AA18" t="inlineStr">
        <is>
          <t/>
        </is>
      </c>
      <c r="AB18">
        <f>IF(D18="","",((D18-1)+(5-E18)+(F18-1)+(5-G18)+(H18-1)+(5-I18)+(J18-1)+(5-K18)+(L18-1)+(5-M18))*2.5)</f>
      </c>
      <c r="AC18">
        <f>IF(N18="","",AVERAGE(N18:S18))</f>
      </c>
      <c r="AD18">
        <f>IF(T18="","",AVERAGE(T18:W18))</f>
      </c>
      <c r="AE18">
        <f>IF(X18="","",AVERAGE(X18:AA18))</f>
      </c>
      <c r="AF18" t="inlineStr">
        <is>
          <t/>
        </is>
      </c>
    </row>
    <row r="19">
      <c r="A19" t="inlineStr">
        <is>
          <t/>
        </is>
      </c>
      <c r="B19" t="inlineStr">
        <is>
          <t/>
        </is>
      </c>
      <c r="C19" t="inlineStr">
        <is>
          <t/>
        </is>
      </c>
      <c r="D19" t="inlineStr">
        <is>
          <t/>
        </is>
      </c>
      <c r="E19" t="inlineStr">
        <is>
          <t/>
        </is>
      </c>
      <c r="F19" t="inlineStr">
        <is>
          <t/>
        </is>
      </c>
      <c r="G19" t="inlineStr">
        <is>
          <t/>
        </is>
      </c>
      <c r="H19" t="inlineStr">
        <is>
          <t/>
        </is>
      </c>
      <c r="I19" t="inlineStr">
        <is>
          <t/>
        </is>
      </c>
      <c r="J19" t="inlineStr">
        <is>
          <t/>
        </is>
      </c>
      <c r="K19" t="inlineStr">
        <is>
          <t/>
        </is>
      </c>
      <c r="L19" t="inlineStr">
        <is>
          <t/>
        </is>
      </c>
      <c r="M19" t="inlineStr">
        <is>
          <t/>
        </is>
      </c>
      <c r="N19" t="inlineStr">
        <is>
          <t/>
        </is>
      </c>
      <c r="O19" t="inlineStr">
        <is>
          <t/>
        </is>
      </c>
      <c r="P19" t="inlineStr">
        <is>
          <t/>
        </is>
      </c>
      <c r="Q19" t="inlineStr">
        <is>
          <t/>
        </is>
      </c>
      <c r="R19" t="inlineStr">
        <is>
          <t/>
        </is>
      </c>
      <c r="S19" t="inlineStr">
        <is>
          <t/>
        </is>
      </c>
      <c r="T19" t="inlineStr">
        <is>
          <t/>
        </is>
      </c>
      <c r="U19" t="inlineStr">
        <is>
          <t/>
        </is>
      </c>
      <c r="V19" t="inlineStr">
        <is>
          <t/>
        </is>
      </c>
      <c r="W19" t="inlineStr">
        <is>
          <t/>
        </is>
      </c>
      <c r="X19" t="inlineStr">
        <is>
          <t/>
        </is>
      </c>
      <c r="Y19" t="inlineStr">
        <is>
          <t/>
        </is>
      </c>
      <c r="Z19" t="inlineStr">
        <is>
          <t/>
        </is>
      </c>
      <c r="AA19" t="inlineStr">
        <is>
          <t/>
        </is>
      </c>
      <c r="AB19">
        <f>IF(D19="","",((D19-1)+(5-E19)+(F19-1)+(5-G19)+(H19-1)+(5-I19)+(J19-1)+(5-K19)+(L19-1)+(5-M19))*2.5)</f>
      </c>
      <c r="AC19">
        <f>IF(N19="","",AVERAGE(N19:S19))</f>
      </c>
      <c r="AD19">
        <f>IF(T19="","",AVERAGE(T19:W19))</f>
      </c>
      <c r="AE19">
        <f>IF(X19="","",AVERAGE(X19:AA19))</f>
      </c>
      <c r="AF19" t="inlineStr">
        <is>
          <t/>
        </is>
      </c>
    </row>
    <row r="20">
      <c r="A20" t="inlineStr">
        <is>
          <t/>
        </is>
      </c>
      <c r="B20" t="inlineStr">
        <is>
          <t/>
        </is>
      </c>
      <c r="C20" t="inlineStr">
        <is>
          <t/>
        </is>
      </c>
      <c r="D20" t="inlineStr">
        <is>
          <t/>
        </is>
      </c>
      <c r="E20" t="inlineStr">
        <is>
          <t/>
        </is>
      </c>
      <c r="F20" t="inlineStr">
        <is>
          <t/>
        </is>
      </c>
      <c r="G20" t="inlineStr">
        <is>
          <t/>
        </is>
      </c>
      <c r="H20" t="inlineStr">
        <is>
          <t/>
        </is>
      </c>
      <c r="I20" t="inlineStr">
        <is>
          <t/>
        </is>
      </c>
      <c r="J20" t="inlineStr">
        <is>
          <t/>
        </is>
      </c>
      <c r="K20" t="inlineStr">
        <is>
          <t/>
        </is>
      </c>
      <c r="L20" t="inlineStr">
        <is>
          <t/>
        </is>
      </c>
      <c r="M20" t="inlineStr">
        <is>
          <t/>
        </is>
      </c>
      <c r="N20" t="inlineStr">
        <is>
          <t/>
        </is>
      </c>
      <c r="O20" t="inlineStr">
        <is>
          <t/>
        </is>
      </c>
      <c r="P20" t="inlineStr">
        <is>
          <t/>
        </is>
      </c>
      <c r="Q20" t="inlineStr">
        <is>
          <t/>
        </is>
      </c>
      <c r="R20" t="inlineStr">
        <is>
          <t/>
        </is>
      </c>
      <c r="S20" t="inlineStr">
        <is>
          <t/>
        </is>
      </c>
      <c r="T20" t="inlineStr">
        <is>
          <t/>
        </is>
      </c>
      <c r="U20" t="inlineStr">
        <is>
          <t/>
        </is>
      </c>
      <c r="V20" t="inlineStr">
        <is>
          <t/>
        </is>
      </c>
      <c r="W20" t="inlineStr">
        <is>
          <t/>
        </is>
      </c>
      <c r="X20" t="inlineStr">
        <is>
          <t/>
        </is>
      </c>
      <c r="Y20" t="inlineStr">
        <is>
          <t/>
        </is>
      </c>
      <c r="Z20" t="inlineStr">
        <is>
          <t/>
        </is>
      </c>
      <c r="AA20" t="inlineStr">
        <is>
          <t/>
        </is>
      </c>
      <c r="AB20">
        <f>IF(D20="","",((D20-1)+(5-E20)+(F20-1)+(5-G20)+(H20-1)+(5-I20)+(J20-1)+(5-K20)+(L20-1)+(5-M20))*2.5)</f>
      </c>
      <c r="AC20">
        <f>IF(N20="","",AVERAGE(N20:S20))</f>
      </c>
      <c r="AD20">
        <f>IF(T20="","",AVERAGE(T20:W20))</f>
      </c>
      <c r="AE20">
        <f>IF(X20="","",AVERAGE(X20:AA20))</f>
      </c>
      <c r="AF20" t="inlineStr">
        <is>
          <t/>
        </is>
      </c>
    </row>
    <row r="21">
      <c r="A21" t="inlineStr">
        <is>
          <t/>
        </is>
      </c>
      <c r="B21" t="inlineStr">
        <is>
          <t/>
        </is>
      </c>
      <c r="C21" t="inlineStr">
        <is>
          <t/>
        </is>
      </c>
      <c r="D21" t="inlineStr">
        <is>
          <t/>
        </is>
      </c>
      <c r="E21" t="inlineStr">
        <is>
          <t/>
        </is>
      </c>
      <c r="F21" t="inlineStr">
        <is>
          <t/>
        </is>
      </c>
      <c r="G21" t="inlineStr">
        <is>
          <t/>
        </is>
      </c>
      <c r="H21" t="inlineStr">
        <is>
          <t/>
        </is>
      </c>
      <c r="I21" t="inlineStr">
        <is>
          <t/>
        </is>
      </c>
      <c r="J21" t="inlineStr">
        <is>
          <t/>
        </is>
      </c>
      <c r="K21" t="inlineStr">
        <is>
          <t/>
        </is>
      </c>
      <c r="L21" t="inlineStr">
        <is>
          <t/>
        </is>
      </c>
      <c r="M21" t="inlineStr">
        <is>
          <t/>
        </is>
      </c>
      <c r="N21" t="inlineStr">
        <is>
          <t/>
        </is>
      </c>
      <c r="O21" t="inlineStr">
        <is>
          <t/>
        </is>
      </c>
      <c r="P21" t="inlineStr">
        <is>
          <t/>
        </is>
      </c>
      <c r="Q21" t="inlineStr">
        <is>
          <t/>
        </is>
      </c>
      <c r="R21" t="inlineStr">
        <is>
          <t/>
        </is>
      </c>
      <c r="S21" t="inlineStr">
        <is>
          <t/>
        </is>
      </c>
      <c r="T21" t="inlineStr">
        <is>
          <t/>
        </is>
      </c>
      <c r="U21" t="inlineStr">
        <is>
          <t/>
        </is>
      </c>
      <c r="V21" t="inlineStr">
        <is>
          <t/>
        </is>
      </c>
      <c r="W21" t="inlineStr">
        <is>
          <t/>
        </is>
      </c>
      <c r="X21" t="inlineStr">
        <is>
          <t/>
        </is>
      </c>
      <c r="Y21" t="inlineStr">
        <is>
          <t/>
        </is>
      </c>
      <c r="Z21" t="inlineStr">
        <is>
          <t/>
        </is>
      </c>
      <c r="AA21" t="inlineStr">
        <is>
          <t/>
        </is>
      </c>
      <c r="AB21">
        <f>IF(D21="","",((D21-1)+(5-E21)+(F21-1)+(5-G21)+(H21-1)+(5-I21)+(J21-1)+(5-K21)+(L21-1)+(5-M21))*2.5)</f>
      </c>
      <c r="AC21">
        <f>IF(N21="","",AVERAGE(N21:S21))</f>
      </c>
      <c r="AD21">
        <f>IF(T21="","",AVERAGE(T21:W21))</f>
      </c>
      <c r="AE21">
        <f>IF(X21="","",AVERAGE(X21:AA21))</f>
      </c>
      <c r="AF21" t="inlineStr">
        <is>
          <t/>
        </is>
      </c>
    </row>
    <row r="22">
      <c r="A22" t="inlineStr">
        <is>
          <t/>
        </is>
      </c>
      <c r="B22" t="inlineStr">
        <is>
          <t/>
        </is>
      </c>
      <c r="C22" t="inlineStr">
        <is>
          <t/>
        </is>
      </c>
      <c r="D22" t="inlineStr">
        <is>
          <t/>
        </is>
      </c>
      <c r="E22" t="inlineStr">
        <is>
          <t/>
        </is>
      </c>
      <c r="F22" t="inlineStr">
        <is>
          <t/>
        </is>
      </c>
      <c r="G22" t="inlineStr">
        <is>
          <t/>
        </is>
      </c>
      <c r="H22" t="inlineStr">
        <is>
          <t/>
        </is>
      </c>
      <c r="I22" t="inlineStr">
        <is>
          <t/>
        </is>
      </c>
      <c r="J22" t="inlineStr">
        <is>
          <t/>
        </is>
      </c>
      <c r="K22" t="inlineStr">
        <is>
          <t/>
        </is>
      </c>
      <c r="L22" t="inlineStr">
        <is>
          <t/>
        </is>
      </c>
      <c r="M22" t="inlineStr">
        <is>
          <t/>
        </is>
      </c>
      <c r="N22" t="inlineStr">
        <is>
          <t/>
        </is>
      </c>
      <c r="O22" t="inlineStr">
        <is>
          <t/>
        </is>
      </c>
      <c r="P22" t="inlineStr">
        <is>
          <t/>
        </is>
      </c>
      <c r="Q22" t="inlineStr">
        <is>
          <t/>
        </is>
      </c>
      <c r="R22" t="inlineStr">
        <is>
          <t/>
        </is>
      </c>
      <c r="S22" t="inlineStr">
        <is>
          <t/>
        </is>
      </c>
      <c r="T22" t="inlineStr">
        <is>
          <t/>
        </is>
      </c>
      <c r="U22" t="inlineStr">
        <is>
          <t/>
        </is>
      </c>
      <c r="V22" t="inlineStr">
        <is>
          <t/>
        </is>
      </c>
      <c r="W22" t="inlineStr">
        <is>
          <t/>
        </is>
      </c>
      <c r="X22" t="inlineStr">
        <is>
          <t/>
        </is>
      </c>
      <c r="Y22" t="inlineStr">
        <is>
          <t/>
        </is>
      </c>
      <c r="Z22" t="inlineStr">
        <is>
          <t/>
        </is>
      </c>
      <c r="AA22" t="inlineStr">
        <is>
          <t/>
        </is>
      </c>
      <c r="AB22">
        <f>IF(D22="","",((D22-1)+(5-E22)+(F22-1)+(5-G22)+(H22-1)+(5-I22)+(J22-1)+(5-K22)+(L22-1)+(5-M22))*2.5)</f>
      </c>
      <c r="AC22">
        <f>IF(N22="","",AVERAGE(N22:S22))</f>
      </c>
      <c r="AD22">
        <f>IF(T22="","",AVERAGE(T22:W22))</f>
      </c>
      <c r="AE22">
        <f>IF(X22="","",AVERAGE(X22:AA22))</f>
      </c>
      <c r="AF22" t="inlineStr">
        <is>
          <t/>
        </is>
      </c>
    </row>
    <row r="23">
      <c r="A23" t="inlineStr">
        <is>
          <t/>
        </is>
      </c>
      <c r="B23" t="inlineStr">
        <is>
          <t/>
        </is>
      </c>
      <c r="C23" t="inlineStr">
        <is>
          <t/>
        </is>
      </c>
      <c r="D23" t="inlineStr">
        <is>
          <t/>
        </is>
      </c>
      <c r="E23" t="inlineStr">
        <is>
          <t/>
        </is>
      </c>
      <c r="F23" t="inlineStr">
        <is>
          <t/>
        </is>
      </c>
      <c r="G23" t="inlineStr">
        <is>
          <t/>
        </is>
      </c>
      <c r="H23" t="inlineStr">
        <is>
          <t/>
        </is>
      </c>
      <c r="I23" t="inlineStr">
        <is>
          <t/>
        </is>
      </c>
      <c r="J23" t="inlineStr">
        <is>
          <t/>
        </is>
      </c>
      <c r="K23" t="inlineStr">
        <is>
          <t/>
        </is>
      </c>
      <c r="L23" t="inlineStr">
        <is>
          <t/>
        </is>
      </c>
      <c r="M23" t="inlineStr">
        <is>
          <t/>
        </is>
      </c>
      <c r="N23" t="inlineStr">
        <is>
          <t/>
        </is>
      </c>
      <c r="O23" t="inlineStr">
        <is>
          <t/>
        </is>
      </c>
      <c r="P23" t="inlineStr">
        <is>
          <t/>
        </is>
      </c>
      <c r="Q23" t="inlineStr">
        <is>
          <t/>
        </is>
      </c>
      <c r="R23" t="inlineStr">
        <is>
          <t/>
        </is>
      </c>
      <c r="S23" t="inlineStr">
        <is>
          <t/>
        </is>
      </c>
      <c r="T23" t="inlineStr">
        <is>
          <t/>
        </is>
      </c>
      <c r="U23" t="inlineStr">
        <is>
          <t/>
        </is>
      </c>
      <c r="V23" t="inlineStr">
        <is>
          <t/>
        </is>
      </c>
      <c r="W23" t="inlineStr">
        <is>
          <t/>
        </is>
      </c>
      <c r="X23" t="inlineStr">
        <is>
          <t/>
        </is>
      </c>
      <c r="Y23" t="inlineStr">
        <is>
          <t/>
        </is>
      </c>
      <c r="Z23" t="inlineStr">
        <is>
          <t/>
        </is>
      </c>
      <c r="AA23" t="inlineStr">
        <is>
          <t/>
        </is>
      </c>
      <c r="AB23">
        <f>IF(D23="","",((D23-1)+(5-E23)+(F23-1)+(5-G23)+(H23-1)+(5-I23)+(J23-1)+(5-K23)+(L23-1)+(5-M23))*2.5)</f>
      </c>
      <c r="AC23">
        <f>IF(N23="","",AVERAGE(N23:S23))</f>
      </c>
      <c r="AD23">
        <f>IF(T23="","",AVERAGE(T23:W23))</f>
      </c>
      <c r="AE23">
        <f>IF(X23="","",AVERAGE(X23:AA23))</f>
      </c>
      <c r="AF23" t="inlineStr">
        <is>
          <t/>
        </is>
      </c>
    </row>
    <row r="24">
      <c r="A24" t="inlineStr">
        <is>
          <t/>
        </is>
      </c>
      <c r="B24" t="inlineStr">
        <is>
          <t/>
        </is>
      </c>
      <c r="C24" t="inlineStr">
        <is>
          <t/>
        </is>
      </c>
      <c r="D24" t="inlineStr">
        <is>
          <t/>
        </is>
      </c>
      <c r="E24" t="inlineStr">
        <is>
          <t/>
        </is>
      </c>
      <c r="F24" t="inlineStr">
        <is>
          <t/>
        </is>
      </c>
      <c r="G24" t="inlineStr">
        <is>
          <t/>
        </is>
      </c>
      <c r="H24" t="inlineStr">
        <is>
          <t/>
        </is>
      </c>
      <c r="I24" t="inlineStr">
        <is>
          <t/>
        </is>
      </c>
      <c r="J24" t="inlineStr">
        <is>
          <t/>
        </is>
      </c>
      <c r="K24" t="inlineStr">
        <is>
          <t/>
        </is>
      </c>
      <c r="L24" t="inlineStr">
        <is>
          <t/>
        </is>
      </c>
      <c r="M24" t="inlineStr">
        <is>
          <t/>
        </is>
      </c>
      <c r="N24" t="inlineStr">
        <is>
          <t/>
        </is>
      </c>
      <c r="O24" t="inlineStr">
        <is>
          <t/>
        </is>
      </c>
      <c r="P24" t="inlineStr">
        <is>
          <t/>
        </is>
      </c>
      <c r="Q24" t="inlineStr">
        <is>
          <t/>
        </is>
      </c>
      <c r="R24" t="inlineStr">
        <is>
          <t/>
        </is>
      </c>
      <c r="S24" t="inlineStr">
        <is>
          <t/>
        </is>
      </c>
      <c r="T24" t="inlineStr">
        <is>
          <t/>
        </is>
      </c>
      <c r="U24" t="inlineStr">
        <is>
          <t/>
        </is>
      </c>
      <c r="V24" t="inlineStr">
        <is>
          <t/>
        </is>
      </c>
      <c r="W24" t="inlineStr">
        <is>
          <t/>
        </is>
      </c>
      <c r="X24" t="inlineStr">
        <is>
          <t/>
        </is>
      </c>
      <c r="Y24" t="inlineStr">
        <is>
          <t/>
        </is>
      </c>
      <c r="Z24" t="inlineStr">
        <is>
          <t/>
        </is>
      </c>
      <c r="AA24" t="inlineStr">
        <is>
          <t/>
        </is>
      </c>
      <c r="AB24">
        <f>IF(D24="","",((D24-1)+(5-E24)+(F24-1)+(5-G24)+(H24-1)+(5-I24)+(J24-1)+(5-K24)+(L24-1)+(5-M24))*2.5)</f>
      </c>
      <c r="AC24">
        <f>IF(N24="","",AVERAGE(N24:S24))</f>
      </c>
      <c r="AD24">
        <f>IF(T24="","",AVERAGE(T24:W24))</f>
      </c>
      <c r="AE24">
        <f>IF(X24="","",AVERAGE(X24:AA24))</f>
      </c>
      <c r="AF24" t="inlineStr">
        <is>
          <t/>
        </is>
      </c>
    </row>
    <row r="25">
      <c r="A25" t="inlineStr">
        <is>
          <t/>
        </is>
      </c>
      <c r="B25" t="inlineStr">
        <is>
          <t/>
        </is>
      </c>
      <c r="C25" t="inlineStr">
        <is>
          <t/>
        </is>
      </c>
      <c r="D25" t="inlineStr">
        <is>
          <t/>
        </is>
      </c>
      <c r="E25" t="inlineStr">
        <is>
          <t/>
        </is>
      </c>
      <c r="F25" t="inlineStr">
        <is>
          <t/>
        </is>
      </c>
      <c r="G25" t="inlineStr">
        <is>
          <t/>
        </is>
      </c>
      <c r="H25" t="inlineStr">
        <is>
          <t/>
        </is>
      </c>
      <c r="I25" t="inlineStr">
        <is>
          <t/>
        </is>
      </c>
      <c r="J25" t="inlineStr">
        <is>
          <t/>
        </is>
      </c>
      <c r="K25" t="inlineStr">
        <is>
          <t/>
        </is>
      </c>
      <c r="L25" t="inlineStr">
        <is>
          <t/>
        </is>
      </c>
      <c r="M25" t="inlineStr">
        <is>
          <t/>
        </is>
      </c>
      <c r="N25" t="inlineStr">
        <is>
          <t/>
        </is>
      </c>
      <c r="O25" t="inlineStr">
        <is>
          <t/>
        </is>
      </c>
      <c r="P25" t="inlineStr">
        <is>
          <t/>
        </is>
      </c>
      <c r="Q25" t="inlineStr">
        <is>
          <t/>
        </is>
      </c>
      <c r="R25" t="inlineStr">
        <is>
          <t/>
        </is>
      </c>
      <c r="S25" t="inlineStr">
        <is>
          <t/>
        </is>
      </c>
      <c r="T25" t="inlineStr">
        <is>
          <t/>
        </is>
      </c>
      <c r="U25" t="inlineStr">
        <is>
          <t/>
        </is>
      </c>
      <c r="V25" t="inlineStr">
        <is>
          <t/>
        </is>
      </c>
      <c r="W25" t="inlineStr">
        <is>
          <t/>
        </is>
      </c>
      <c r="X25" t="inlineStr">
        <is>
          <t/>
        </is>
      </c>
      <c r="Y25" t="inlineStr">
        <is>
          <t/>
        </is>
      </c>
      <c r="Z25" t="inlineStr">
        <is>
          <t/>
        </is>
      </c>
      <c r="AA25" t="inlineStr">
        <is>
          <t/>
        </is>
      </c>
      <c r="AB25">
        <f>IF(D25="","",((D25-1)+(5-E25)+(F25-1)+(5-G25)+(H25-1)+(5-I25)+(J25-1)+(5-K25)+(L25-1)+(5-M25))*2.5)</f>
      </c>
      <c r="AC25">
        <f>IF(N25="","",AVERAGE(N25:S25))</f>
      </c>
      <c r="AD25">
        <f>IF(T25="","",AVERAGE(T25:W25))</f>
      </c>
      <c r="AE25">
        <f>IF(X25="","",AVERAGE(X25:AA25))</f>
      </c>
      <c r="AF25" t="inlineStr">
        <is>
          <t/>
        </is>
      </c>
    </row>
    <row r="26">
      <c r="A26" t="inlineStr">
        <is>
          <t/>
        </is>
      </c>
      <c r="B26" t="inlineStr">
        <is>
          <t/>
        </is>
      </c>
      <c r="C26" t="inlineStr">
        <is>
          <t/>
        </is>
      </c>
      <c r="D26" t="inlineStr">
        <is>
          <t/>
        </is>
      </c>
      <c r="E26" t="inlineStr">
        <is>
          <t/>
        </is>
      </c>
      <c r="F26" t="inlineStr">
        <is>
          <t/>
        </is>
      </c>
      <c r="G26" t="inlineStr">
        <is>
          <t/>
        </is>
      </c>
      <c r="H26" t="inlineStr">
        <is>
          <t/>
        </is>
      </c>
      <c r="I26" t="inlineStr">
        <is>
          <t/>
        </is>
      </c>
      <c r="J26" t="inlineStr">
        <is>
          <t/>
        </is>
      </c>
      <c r="K26" t="inlineStr">
        <is>
          <t/>
        </is>
      </c>
      <c r="L26" t="inlineStr">
        <is>
          <t/>
        </is>
      </c>
      <c r="M26" t="inlineStr">
        <is>
          <t/>
        </is>
      </c>
      <c r="N26" t="inlineStr">
        <is>
          <t/>
        </is>
      </c>
      <c r="O26" t="inlineStr">
        <is>
          <t/>
        </is>
      </c>
      <c r="P26" t="inlineStr">
        <is>
          <t/>
        </is>
      </c>
      <c r="Q26" t="inlineStr">
        <is>
          <t/>
        </is>
      </c>
      <c r="R26" t="inlineStr">
        <is>
          <t/>
        </is>
      </c>
      <c r="S26" t="inlineStr">
        <is>
          <t/>
        </is>
      </c>
      <c r="T26" t="inlineStr">
        <is>
          <t/>
        </is>
      </c>
      <c r="U26" t="inlineStr">
        <is>
          <t/>
        </is>
      </c>
      <c r="V26" t="inlineStr">
        <is>
          <t/>
        </is>
      </c>
      <c r="W26" t="inlineStr">
        <is>
          <t/>
        </is>
      </c>
      <c r="X26" t="inlineStr">
        <is>
          <t/>
        </is>
      </c>
      <c r="Y26" t="inlineStr">
        <is>
          <t/>
        </is>
      </c>
      <c r="Z26" t="inlineStr">
        <is>
          <t/>
        </is>
      </c>
      <c r="AA26" t="inlineStr">
        <is>
          <t/>
        </is>
      </c>
      <c r="AB26">
        <f>IF(D26="","",((D26-1)+(5-E26)+(F26-1)+(5-G26)+(H26-1)+(5-I26)+(J26-1)+(5-K26)+(L26-1)+(5-M26))*2.5)</f>
      </c>
      <c r="AC26">
        <f>IF(N26="","",AVERAGE(N26:S26))</f>
      </c>
      <c r="AD26">
        <f>IF(T26="","",AVERAGE(T26:W26))</f>
      </c>
      <c r="AE26">
        <f>IF(X26="","",AVERAGE(X26:AA26))</f>
      </c>
      <c r="AF26" t="inlineStr">
        <is>
          <t/>
        </is>
      </c>
    </row>
    <row r="27">
      <c r="A27" t="inlineStr">
        <is>
          <t/>
        </is>
      </c>
      <c r="B27" t="inlineStr">
        <is>
          <t/>
        </is>
      </c>
      <c r="C27" t="inlineStr">
        <is>
          <t/>
        </is>
      </c>
      <c r="D27" t="inlineStr">
        <is>
          <t/>
        </is>
      </c>
      <c r="E27" t="inlineStr">
        <is>
          <t/>
        </is>
      </c>
      <c r="F27" t="inlineStr">
        <is>
          <t/>
        </is>
      </c>
      <c r="G27" t="inlineStr">
        <is>
          <t/>
        </is>
      </c>
      <c r="H27" t="inlineStr">
        <is>
          <t/>
        </is>
      </c>
      <c r="I27" t="inlineStr">
        <is>
          <t/>
        </is>
      </c>
      <c r="J27" t="inlineStr">
        <is>
          <t/>
        </is>
      </c>
      <c r="K27" t="inlineStr">
        <is>
          <t/>
        </is>
      </c>
      <c r="L27" t="inlineStr">
        <is>
          <t/>
        </is>
      </c>
      <c r="M27" t="inlineStr">
        <is>
          <t/>
        </is>
      </c>
      <c r="N27" t="inlineStr">
        <is>
          <t/>
        </is>
      </c>
      <c r="O27" t="inlineStr">
        <is>
          <t/>
        </is>
      </c>
      <c r="P27" t="inlineStr">
        <is>
          <t/>
        </is>
      </c>
      <c r="Q27" t="inlineStr">
        <is>
          <t/>
        </is>
      </c>
      <c r="R27" t="inlineStr">
        <is>
          <t/>
        </is>
      </c>
      <c r="S27" t="inlineStr">
        <is>
          <t/>
        </is>
      </c>
      <c r="T27" t="inlineStr">
        <is>
          <t/>
        </is>
      </c>
      <c r="U27" t="inlineStr">
        <is>
          <t/>
        </is>
      </c>
      <c r="V27" t="inlineStr">
        <is>
          <t/>
        </is>
      </c>
      <c r="W27" t="inlineStr">
        <is>
          <t/>
        </is>
      </c>
      <c r="X27" t="inlineStr">
        <is>
          <t/>
        </is>
      </c>
      <c r="Y27" t="inlineStr">
        <is>
          <t/>
        </is>
      </c>
      <c r="Z27" t="inlineStr">
        <is>
          <t/>
        </is>
      </c>
      <c r="AA27" t="inlineStr">
        <is>
          <t/>
        </is>
      </c>
      <c r="AB27">
        <f>IF(D27="","",((D27-1)+(5-E27)+(F27-1)+(5-G27)+(H27-1)+(5-I27)+(J27-1)+(5-K27)+(L27-1)+(5-M27))*2.5)</f>
      </c>
      <c r="AC27">
        <f>IF(N27="","",AVERAGE(N27:S27))</f>
      </c>
      <c r="AD27">
        <f>IF(T27="","",AVERAGE(T27:W27))</f>
      </c>
      <c r="AE27">
        <f>IF(X27="","",AVERAGE(X27:AA27))</f>
      </c>
      <c r="AF27" t="inlineStr">
        <is>
          <t/>
        </is>
      </c>
    </row>
    <row r="28">
      <c r="A28" t="inlineStr">
        <is>
          <t/>
        </is>
      </c>
      <c r="B28" t="inlineStr">
        <is>
          <t/>
        </is>
      </c>
      <c r="C28" t="inlineStr">
        <is>
          <t/>
        </is>
      </c>
      <c r="D28" t="inlineStr">
        <is>
          <t/>
        </is>
      </c>
      <c r="E28" t="inlineStr">
        <is>
          <t/>
        </is>
      </c>
      <c r="F28" t="inlineStr">
        <is>
          <t/>
        </is>
      </c>
      <c r="G28" t="inlineStr">
        <is>
          <t/>
        </is>
      </c>
      <c r="H28" t="inlineStr">
        <is>
          <t/>
        </is>
      </c>
      <c r="I28" t="inlineStr">
        <is>
          <t/>
        </is>
      </c>
      <c r="J28" t="inlineStr">
        <is>
          <t/>
        </is>
      </c>
      <c r="K28" t="inlineStr">
        <is>
          <t/>
        </is>
      </c>
      <c r="L28" t="inlineStr">
        <is>
          <t/>
        </is>
      </c>
      <c r="M28" t="inlineStr">
        <is>
          <t/>
        </is>
      </c>
      <c r="N28" t="inlineStr">
        <is>
          <t/>
        </is>
      </c>
      <c r="O28" t="inlineStr">
        <is>
          <t/>
        </is>
      </c>
      <c r="P28" t="inlineStr">
        <is>
          <t/>
        </is>
      </c>
      <c r="Q28" t="inlineStr">
        <is>
          <t/>
        </is>
      </c>
      <c r="R28" t="inlineStr">
        <is>
          <t/>
        </is>
      </c>
      <c r="S28" t="inlineStr">
        <is>
          <t/>
        </is>
      </c>
      <c r="T28" t="inlineStr">
        <is>
          <t/>
        </is>
      </c>
      <c r="U28" t="inlineStr">
        <is>
          <t/>
        </is>
      </c>
      <c r="V28" t="inlineStr">
        <is>
          <t/>
        </is>
      </c>
      <c r="W28" t="inlineStr">
        <is>
          <t/>
        </is>
      </c>
      <c r="X28" t="inlineStr">
        <is>
          <t/>
        </is>
      </c>
      <c r="Y28" t="inlineStr">
        <is>
          <t/>
        </is>
      </c>
      <c r="Z28" t="inlineStr">
        <is>
          <t/>
        </is>
      </c>
      <c r="AA28" t="inlineStr">
        <is>
          <t/>
        </is>
      </c>
      <c r="AB28">
        <f>IF(D28="","",((D28-1)+(5-E28)+(F28-1)+(5-G28)+(H28-1)+(5-I28)+(J28-1)+(5-K28)+(L28-1)+(5-M28))*2.5)</f>
      </c>
      <c r="AC28">
        <f>IF(N28="","",AVERAGE(N28:S28))</f>
      </c>
      <c r="AD28">
        <f>IF(T28="","",AVERAGE(T28:W28))</f>
      </c>
      <c r="AE28">
        <f>IF(X28="","",AVERAGE(X28:AA28))</f>
      </c>
      <c r="AF28" t="inlineStr">
        <is>
          <t/>
        </is>
      </c>
    </row>
    <row r="29">
      <c r="A29" t="inlineStr">
        <is>
          <t/>
        </is>
      </c>
      <c r="B29" t="inlineStr">
        <is>
          <t/>
        </is>
      </c>
      <c r="C29" t="inlineStr">
        <is>
          <t/>
        </is>
      </c>
      <c r="D29" t="inlineStr">
        <is>
          <t/>
        </is>
      </c>
      <c r="E29" t="inlineStr">
        <is>
          <t/>
        </is>
      </c>
      <c r="F29" t="inlineStr">
        <is>
          <t/>
        </is>
      </c>
      <c r="G29" t="inlineStr">
        <is>
          <t/>
        </is>
      </c>
      <c r="H29" t="inlineStr">
        <is>
          <t/>
        </is>
      </c>
      <c r="I29" t="inlineStr">
        <is>
          <t/>
        </is>
      </c>
      <c r="J29" t="inlineStr">
        <is>
          <t/>
        </is>
      </c>
      <c r="K29" t="inlineStr">
        <is>
          <t/>
        </is>
      </c>
      <c r="L29" t="inlineStr">
        <is>
          <t/>
        </is>
      </c>
      <c r="M29" t="inlineStr">
        <is>
          <t/>
        </is>
      </c>
      <c r="N29" t="inlineStr">
        <is>
          <t/>
        </is>
      </c>
      <c r="O29" t="inlineStr">
        <is>
          <t/>
        </is>
      </c>
      <c r="P29" t="inlineStr">
        <is>
          <t/>
        </is>
      </c>
      <c r="Q29" t="inlineStr">
        <is>
          <t/>
        </is>
      </c>
      <c r="R29" t="inlineStr">
        <is>
          <t/>
        </is>
      </c>
      <c r="S29" t="inlineStr">
        <is>
          <t/>
        </is>
      </c>
      <c r="T29" t="inlineStr">
        <is>
          <t/>
        </is>
      </c>
      <c r="U29" t="inlineStr">
        <is>
          <t/>
        </is>
      </c>
      <c r="V29" t="inlineStr">
        <is>
          <t/>
        </is>
      </c>
      <c r="W29" t="inlineStr">
        <is>
          <t/>
        </is>
      </c>
      <c r="X29" t="inlineStr">
        <is>
          <t/>
        </is>
      </c>
      <c r="Y29" t="inlineStr">
        <is>
          <t/>
        </is>
      </c>
      <c r="Z29" t="inlineStr">
        <is>
          <t/>
        </is>
      </c>
      <c r="AA29" t="inlineStr">
        <is>
          <t/>
        </is>
      </c>
      <c r="AB29">
        <f>IF(D29="","",((D29-1)+(5-E29)+(F29-1)+(5-G29)+(H29-1)+(5-I29)+(J29-1)+(5-K29)+(L29-1)+(5-M29))*2.5)</f>
      </c>
      <c r="AC29">
        <f>IF(N29="","",AVERAGE(N29:S29))</f>
      </c>
      <c r="AD29">
        <f>IF(T29="","",AVERAGE(T29:W29))</f>
      </c>
      <c r="AE29">
        <f>IF(X29="","",AVERAGE(X29:AA29))</f>
      </c>
      <c r="AF29" t="inlineStr">
        <is>
          <t/>
        </is>
      </c>
    </row>
    <row r="30">
      <c r="A30" t="inlineStr">
        <is>
          <t/>
        </is>
      </c>
      <c r="B30" t="inlineStr">
        <is>
          <t/>
        </is>
      </c>
      <c r="C30" t="inlineStr">
        <is>
          <t/>
        </is>
      </c>
      <c r="D30" t="inlineStr">
        <is>
          <t/>
        </is>
      </c>
      <c r="E30" t="inlineStr">
        <is>
          <t/>
        </is>
      </c>
      <c r="F30" t="inlineStr">
        <is>
          <t/>
        </is>
      </c>
      <c r="G30" t="inlineStr">
        <is>
          <t/>
        </is>
      </c>
      <c r="H30" t="inlineStr">
        <is>
          <t/>
        </is>
      </c>
      <c r="I30" t="inlineStr">
        <is>
          <t/>
        </is>
      </c>
      <c r="J30" t="inlineStr">
        <is>
          <t/>
        </is>
      </c>
      <c r="K30" t="inlineStr">
        <is>
          <t/>
        </is>
      </c>
      <c r="L30" t="inlineStr">
        <is>
          <t/>
        </is>
      </c>
      <c r="M30" t="inlineStr">
        <is>
          <t/>
        </is>
      </c>
      <c r="N30" t="inlineStr">
        <is>
          <t/>
        </is>
      </c>
      <c r="O30" t="inlineStr">
        <is>
          <t/>
        </is>
      </c>
      <c r="P30" t="inlineStr">
        <is>
          <t/>
        </is>
      </c>
      <c r="Q30" t="inlineStr">
        <is>
          <t/>
        </is>
      </c>
      <c r="R30" t="inlineStr">
        <is>
          <t/>
        </is>
      </c>
      <c r="S30" t="inlineStr">
        <is>
          <t/>
        </is>
      </c>
      <c r="T30" t="inlineStr">
        <is>
          <t/>
        </is>
      </c>
      <c r="U30" t="inlineStr">
        <is>
          <t/>
        </is>
      </c>
      <c r="V30" t="inlineStr">
        <is>
          <t/>
        </is>
      </c>
      <c r="W30" t="inlineStr">
        <is>
          <t/>
        </is>
      </c>
      <c r="X30" t="inlineStr">
        <is>
          <t/>
        </is>
      </c>
      <c r="Y30" t="inlineStr">
        <is>
          <t/>
        </is>
      </c>
      <c r="Z30" t="inlineStr">
        <is>
          <t/>
        </is>
      </c>
      <c r="AA30" t="inlineStr">
        <is>
          <t/>
        </is>
      </c>
      <c r="AB30">
        <f>IF(D30="","",((D30-1)+(5-E30)+(F30-1)+(5-G30)+(H30-1)+(5-I30)+(J30-1)+(5-K30)+(L30-1)+(5-M30))*2.5)</f>
      </c>
      <c r="AC30">
        <f>IF(N30="","",AVERAGE(N30:S30))</f>
      </c>
      <c r="AD30">
        <f>IF(T30="","",AVERAGE(T30:W30))</f>
      </c>
      <c r="AE30">
        <f>IF(X30="","",AVERAGE(X30:AA30))</f>
      </c>
      <c r="AF30" t="inlineStr">
        <is>
          <t/>
        </is>
      </c>
    </row>
    <row r="31">
      <c r="A31" t="inlineStr">
        <is>
          <t/>
        </is>
      </c>
      <c r="B31" t="inlineStr">
        <is>
          <t/>
        </is>
      </c>
      <c r="C31" t="inlineStr">
        <is>
          <t/>
        </is>
      </c>
      <c r="D31" t="inlineStr">
        <is>
          <t/>
        </is>
      </c>
      <c r="E31" t="inlineStr">
        <is>
          <t/>
        </is>
      </c>
      <c r="F31" t="inlineStr">
        <is>
          <t/>
        </is>
      </c>
      <c r="G31" t="inlineStr">
        <is>
          <t/>
        </is>
      </c>
      <c r="H31" t="inlineStr">
        <is>
          <t/>
        </is>
      </c>
      <c r="I31" t="inlineStr">
        <is>
          <t/>
        </is>
      </c>
      <c r="J31" t="inlineStr">
        <is>
          <t/>
        </is>
      </c>
      <c r="K31" t="inlineStr">
        <is>
          <t/>
        </is>
      </c>
      <c r="L31" t="inlineStr">
        <is>
          <t/>
        </is>
      </c>
      <c r="M31" t="inlineStr">
        <is>
          <t/>
        </is>
      </c>
      <c r="N31" t="inlineStr">
        <is>
          <t/>
        </is>
      </c>
      <c r="O31" t="inlineStr">
        <is>
          <t/>
        </is>
      </c>
      <c r="P31" t="inlineStr">
        <is>
          <t/>
        </is>
      </c>
      <c r="Q31" t="inlineStr">
        <is>
          <t/>
        </is>
      </c>
      <c r="R31" t="inlineStr">
        <is>
          <t/>
        </is>
      </c>
      <c r="S31" t="inlineStr">
        <is>
          <t/>
        </is>
      </c>
      <c r="T31" t="inlineStr">
        <is>
          <t/>
        </is>
      </c>
      <c r="U31" t="inlineStr">
        <is>
          <t/>
        </is>
      </c>
      <c r="V31" t="inlineStr">
        <is>
          <t/>
        </is>
      </c>
      <c r="W31" t="inlineStr">
        <is>
          <t/>
        </is>
      </c>
      <c r="X31" t="inlineStr">
        <is>
          <t/>
        </is>
      </c>
      <c r="Y31" t="inlineStr">
        <is>
          <t/>
        </is>
      </c>
      <c r="Z31" t="inlineStr">
        <is>
          <t/>
        </is>
      </c>
      <c r="AA31" t="inlineStr">
        <is>
          <t/>
        </is>
      </c>
      <c r="AB31">
        <f>IF(D31="","",((D31-1)+(5-E31)+(F31-1)+(5-G31)+(H31-1)+(5-I31)+(J31-1)+(5-K31)+(L31-1)+(5-M31))*2.5)</f>
      </c>
      <c r="AC31">
        <f>IF(N31="","",AVERAGE(N31:S31))</f>
      </c>
      <c r="AD31">
        <f>IF(T31="","",AVERAGE(T31:W31))</f>
      </c>
      <c r="AE31">
        <f>IF(X31="","",AVERAGE(X31:AA31))</f>
      </c>
      <c r="AF31" t="inlineStr">
        <is>
          <t/>
        </is>
      </c>
    </row>
    <row r="32">
      <c r="A32" t="inlineStr">
        <is>
          <t/>
        </is>
      </c>
      <c r="B32" t="inlineStr">
        <is>
          <t/>
        </is>
      </c>
      <c r="C32" t="inlineStr">
        <is>
          <t/>
        </is>
      </c>
      <c r="D32" t="inlineStr">
        <is>
          <t/>
        </is>
      </c>
      <c r="E32" t="inlineStr">
        <is>
          <t/>
        </is>
      </c>
      <c r="F32" t="inlineStr">
        <is>
          <t/>
        </is>
      </c>
      <c r="G32" t="inlineStr">
        <is>
          <t/>
        </is>
      </c>
      <c r="H32" t="inlineStr">
        <is>
          <t/>
        </is>
      </c>
      <c r="I32" t="inlineStr">
        <is>
          <t/>
        </is>
      </c>
      <c r="J32" t="inlineStr">
        <is>
          <t/>
        </is>
      </c>
      <c r="K32" t="inlineStr">
        <is>
          <t/>
        </is>
      </c>
      <c r="L32" t="inlineStr">
        <is>
          <t/>
        </is>
      </c>
      <c r="M32" t="inlineStr">
        <is>
          <t/>
        </is>
      </c>
      <c r="N32" t="inlineStr">
        <is>
          <t/>
        </is>
      </c>
      <c r="O32" t="inlineStr">
        <is>
          <t/>
        </is>
      </c>
      <c r="P32" t="inlineStr">
        <is>
          <t/>
        </is>
      </c>
      <c r="Q32" t="inlineStr">
        <is>
          <t/>
        </is>
      </c>
      <c r="R32" t="inlineStr">
        <is>
          <t/>
        </is>
      </c>
      <c r="S32" t="inlineStr">
        <is>
          <t/>
        </is>
      </c>
      <c r="T32" t="inlineStr">
        <is>
          <t/>
        </is>
      </c>
      <c r="U32" t="inlineStr">
        <is>
          <t/>
        </is>
      </c>
      <c r="V32" t="inlineStr">
        <is>
          <t/>
        </is>
      </c>
      <c r="W32" t="inlineStr">
        <is>
          <t/>
        </is>
      </c>
      <c r="X32" t="inlineStr">
        <is>
          <t/>
        </is>
      </c>
      <c r="Y32" t="inlineStr">
        <is>
          <t/>
        </is>
      </c>
      <c r="Z32" t="inlineStr">
        <is>
          <t/>
        </is>
      </c>
      <c r="AA32" t="inlineStr">
        <is>
          <t/>
        </is>
      </c>
      <c r="AB32">
        <f>IF(D32="","",((D32-1)+(5-E32)+(F32-1)+(5-G32)+(H32-1)+(5-I32)+(J32-1)+(5-K32)+(L32-1)+(5-M32))*2.5)</f>
      </c>
      <c r="AC32">
        <f>IF(N32="","",AVERAGE(N32:S32))</f>
      </c>
      <c r="AD32">
        <f>IF(T32="","",AVERAGE(T32:W32))</f>
      </c>
      <c r="AE32">
        <f>IF(X32="","",AVERAGE(X32:AA32))</f>
      </c>
      <c r="AF32" t="inlineStr">
        <is>
          <t/>
        </is>
      </c>
    </row>
    <row r="33">
      <c r="A33" t="inlineStr">
        <is>
          <t/>
        </is>
      </c>
      <c r="B33" t="inlineStr">
        <is>
          <t/>
        </is>
      </c>
      <c r="C33" t="inlineStr">
        <is>
          <t/>
        </is>
      </c>
      <c r="D33" t="inlineStr">
        <is>
          <t/>
        </is>
      </c>
      <c r="E33" t="inlineStr">
        <is>
          <t/>
        </is>
      </c>
      <c r="F33" t="inlineStr">
        <is>
          <t/>
        </is>
      </c>
      <c r="G33" t="inlineStr">
        <is>
          <t/>
        </is>
      </c>
      <c r="H33" t="inlineStr">
        <is>
          <t/>
        </is>
      </c>
      <c r="I33" t="inlineStr">
        <is>
          <t/>
        </is>
      </c>
      <c r="J33" t="inlineStr">
        <is>
          <t/>
        </is>
      </c>
      <c r="K33" t="inlineStr">
        <is>
          <t/>
        </is>
      </c>
      <c r="L33" t="inlineStr">
        <is>
          <t/>
        </is>
      </c>
      <c r="M33" t="inlineStr">
        <is>
          <t/>
        </is>
      </c>
      <c r="N33" t="inlineStr">
        <is>
          <t/>
        </is>
      </c>
      <c r="O33" t="inlineStr">
        <is>
          <t/>
        </is>
      </c>
      <c r="P33" t="inlineStr">
        <is>
          <t/>
        </is>
      </c>
      <c r="Q33" t="inlineStr">
        <is>
          <t/>
        </is>
      </c>
      <c r="R33" t="inlineStr">
        <is>
          <t/>
        </is>
      </c>
      <c r="S33" t="inlineStr">
        <is>
          <t/>
        </is>
      </c>
      <c r="T33" t="inlineStr">
        <is>
          <t/>
        </is>
      </c>
      <c r="U33" t="inlineStr">
        <is>
          <t/>
        </is>
      </c>
      <c r="V33" t="inlineStr">
        <is>
          <t/>
        </is>
      </c>
      <c r="W33" t="inlineStr">
        <is>
          <t/>
        </is>
      </c>
      <c r="X33" t="inlineStr">
        <is>
          <t/>
        </is>
      </c>
      <c r="Y33" t="inlineStr">
        <is>
          <t/>
        </is>
      </c>
      <c r="Z33" t="inlineStr">
        <is>
          <t/>
        </is>
      </c>
      <c r="AA33" t="inlineStr">
        <is>
          <t/>
        </is>
      </c>
      <c r="AB33">
        <f>IF(D33="","",((D33-1)+(5-E33)+(F33-1)+(5-G33)+(H33-1)+(5-I33)+(J33-1)+(5-K33)+(L33-1)+(5-M33))*2.5)</f>
      </c>
      <c r="AC33">
        <f>IF(N33="","",AVERAGE(N33:S33))</f>
      </c>
      <c r="AD33">
        <f>IF(T33="","",AVERAGE(T33:W33))</f>
      </c>
      <c r="AE33">
        <f>IF(X33="","",AVERAGE(X33:AA33))</f>
      </c>
      <c r="AF33" t="inlineStr">
        <is>
          <t/>
        </is>
      </c>
    </row>
    <row r="34">
      <c r="A34" t="inlineStr">
        <is>
          <t/>
        </is>
      </c>
      <c r="B34" t="inlineStr">
        <is>
          <t/>
        </is>
      </c>
      <c r="C34" t="inlineStr">
        <is>
          <t/>
        </is>
      </c>
      <c r="D34" t="inlineStr">
        <is>
          <t/>
        </is>
      </c>
      <c r="E34" t="inlineStr">
        <is>
          <t/>
        </is>
      </c>
      <c r="F34" t="inlineStr">
        <is>
          <t/>
        </is>
      </c>
      <c r="G34" t="inlineStr">
        <is>
          <t/>
        </is>
      </c>
      <c r="H34" t="inlineStr">
        <is>
          <t/>
        </is>
      </c>
      <c r="I34" t="inlineStr">
        <is>
          <t/>
        </is>
      </c>
      <c r="J34" t="inlineStr">
        <is>
          <t/>
        </is>
      </c>
      <c r="K34" t="inlineStr">
        <is>
          <t/>
        </is>
      </c>
      <c r="L34" t="inlineStr">
        <is>
          <t/>
        </is>
      </c>
      <c r="M34" t="inlineStr">
        <is>
          <t/>
        </is>
      </c>
      <c r="N34" t="inlineStr">
        <is>
          <t/>
        </is>
      </c>
      <c r="O34" t="inlineStr">
        <is>
          <t/>
        </is>
      </c>
      <c r="P34" t="inlineStr">
        <is>
          <t/>
        </is>
      </c>
      <c r="Q34" t="inlineStr">
        <is>
          <t/>
        </is>
      </c>
      <c r="R34" t="inlineStr">
        <is>
          <t/>
        </is>
      </c>
      <c r="S34" t="inlineStr">
        <is>
          <t/>
        </is>
      </c>
      <c r="T34" t="inlineStr">
        <is>
          <t/>
        </is>
      </c>
      <c r="U34" t="inlineStr">
        <is>
          <t/>
        </is>
      </c>
      <c r="V34" t="inlineStr">
        <is>
          <t/>
        </is>
      </c>
      <c r="W34" t="inlineStr">
        <is>
          <t/>
        </is>
      </c>
      <c r="X34" t="inlineStr">
        <is>
          <t/>
        </is>
      </c>
      <c r="Y34" t="inlineStr">
        <is>
          <t/>
        </is>
      </c>
      <c r="Z34" t="inlineStr">
        <is>
          <t/>
        </is>
      </c>
      <c r="AA34" t="inlineStr">
        <is>
          <t/>
        </is>
      </c>
      <c r="AB34">
        <f>IF(D34="","",((D34-1)+(5-E34)+(F34-1)+(5-G34)+(H34-1)+(5-I34)+(J34-1)+(5-K34)+(L34-1)+(5-M34))*2.5)</f>
      </c>
      <c r="AC34">
        <f>IF(N34="","",AVERAGE(N34:S34))</f>
      </c>
      <c r="AD34">
        <f>IF(T34="","",AVERAGE(T34:W34))</f>
      </c>
      <c r="AE34">
        <f>IF(X34="","",AVERAGE(X34:AA34))</f>
      </c>
      <c r="AF34" t="inlineStr">
        <is>
          <t/>
        </is>
      </c>
    </row>
    <row r="35">
      <c r="A35" t="inlineStr">
        <is>
          <t/>
        </is>
      </c>
      <c r="B35" t="inlineStr">
        <is>
          <t/>
        </is>
      </c>
      <c r="C35" t="inlineStr">
        <is>
          <t/>
        </is>
      </c>
      <c r="D35" t="inlineStr">
        <is>
          <t/>
        </is>
      </c>
      <c r="E35" t="inlineStr">
        <is>
          <t/>
        </is>
      </c>
      <c r="F35" t="inlineStr">
        <is>
          <t/>
        </is>
      </c>
      <c r="G35" t="inlineStr">
        <is>
          <t/>
        </is>
      </c>
      <c r="H35" t="inlineStr">
        <is>
          <t/>
        </is>
      </c>
      <c r="I35" t="inlineStr">
        <is>
          <t/>
        </is>
      </c>
      <c r="J35" t="inlineStr">
        <is>
          <t/>
        </is>
      </c>
      <c r="K35" t="inlineStr">
        <is>
          <t/>
        </is>
      </c>
      <c r="L35" t="inlineStr">
        <is>
          <t/>
        </is>
      </c>
      <c r="M35" t="inlineStr">
        <is>
          <t/>
        </is>
      </c>
      <c r="N35" t="inlineStr">
        <is>
          <t/>
        </is>
      </c>
      <c r="O35" t="inlineStr">
        <is>
          <t/>
        </is>
      </c>
      <c r="P35" t="inlineStr">
        <is>
          <t/>
        </is>
      </c>
      <c r="Q35" t="inlineStr">
        <is>
          <t/>
        </is>
      </c>
      <c r="R35" t="inlineStr">
        <is>
          <t/>
        </is>
      </c>
      <c r="S35" t="inlineStr">
        <is>
          <t/>
        </is>
      </c>
      <c r="T35" t="inlineStr">
        <is>
          <t/>
        </is>
      </c>
      <c r="U35" t="inlineStr">
        <is>
          <t/>
        </is>
      </c>
      <c r="V35" t="inlineStr">
        <is>
          <t/>
        </is>
      </c>
      <c r="W35" t="inlineStr">
        <is>
          <t/>
        </is>
      </c>
      <c r="X35" t="inlineStr">
        <is>
          <t/>
        </is>
      </c>
      <c r="Y35" t="inlineStr">
        <is>
          <t/>
        </is>
      </c>
      <c r="Z35" t="inlineStr">
        <is>
          <t/>
        </is>
      </c>
      <c r="AA35" t="inlineStr">
        <is>
          <t/>
        </is>
      </c>
      <c r="AB35">
        <f>IF(D35="","",((D35-1)+(5-E35)+(F35-1)+(5-G35)+(H35-1)+(5-I35)+(J35-1)+(5-K35)+(L35-1)+(5-M35))*2.5)</f>
      </c>
      <c r="AC35">
        <f>IF(N35="","",AVERAGE(N35:S35))</f>
      </c>
      <c r="AD35">
        <f>IF(T35="","",AVERAGE(T35:W35))</f>
      </c>
      <c r="AE35">
        <f>IF(X35="","",AVERAGE(X35:AA35))</f>
      </c>
      <c r="AF35" t="inlineStr">
        <is>
          <t/>
        </is>
      </c>
    </row>
    <row r="36">
      <c r="A36" t="inlineStr">
        <is>
          <t/>
        </is>
      </c>
      <c r="B36" t="inlineStr">
        <is>
          <t/>
        </is>
      </c>
      <c r="C36" t="inlineStr">
        <is>
          <t/>
        </is>
      </c>
      <c r="D36" t="inlineStr">
        <is>
          <t/>
        </is>
      </c>
      <c r="E36" t="inlineStr">
        <is>
          <t/>
        </is>
      </c>
      <c r="F36" t="inlineStr">
        <is>
          <t/>
        </is>
      </c>
      <c r="G36" t="inlineStr">
        <is>
          <t/>
        </is>
      </c>
      <c r="H36" t="inlineStr">
        <is>
          <t/>
        </is>
      </c>
      <c r="I36" t="inlineStr">
        <is>
          <t/>
        </is>
      </c>
      <c r="J36" t="inlineStr">
        <is>
          <t/>
        </is>
      </c>
      <c r="K36" t="inlineStr">
        <is>
          <t/>
        </is>
      </c>
      <c r="L36" t="inlineStr">
        <is>
          <t/>
        </is>
      </c>
      <c r="M36" t="inlineStr">
        <is>
          <t/>
        </is>
      </c>
      <c r="N36" t="inlineStr">
        <is>
          <t/>
        </is>
      </c>
      <c r="O36" t="inlineStr">
        <is>
          <t/>
        </is>
      </c>
      <c r="P36" t="inlineStr">
        <is>
          <t/>
        </is>
      </c>
      <c r="Q36" t="inlineStr">
        <is>
          <t/>
        </is>
      </c>
      <c r="R36" t="inlineStr">
        <is>
          <t/>
        </is>
      </c>
      <c r="S36" t="inlineStr">
        <is>
          <t/>
        </is>
      </c>
      <c r="T36" t="inlineStr">
        <is>
          <t/>
        </is>
      </c>
      <c r="U36" t="inlineStr">
        <is>
          <t/>
        </is>
      </c>
      <c r="V36" t="inlineStr">
        <is>
          <t/>
        </is>
      </c>
      <c r="W36" t="inlineStr">
        <is>
          <t/>
        </is>
      </c>
      <c r="X36" t="inlineStr">
        <is>
          <t/>
        </is>
      </c>
      <c r="Y36" t="inlineStr">
        <is>
          <t/>
        </is>
      </c>
      <c r="Z36" t="inlineStr">
        <is>
          <t/>
        </is>
      </c>
      <c r="AA36" t="inlineStr">
        <is>
          <t/>
        </is>
      </c>
      <c r="AB36">
        <f>IF(D36="","",((D36-1)+(5-E36)+(F36-1)+(5-G36)+(H36-1)+(5-I36)+(J36-1)+(5-K36)+(L36-1)+(5-M36))*2.5)</f>
      </c>
      <c r="AC36">
        <f>IF(N36="","",AVERAGE(N36:S36))</f>
      </c>
      <c r="AD36">
        <f>IF(T36="","",AVERAGE(T36:W36))</f>
      </c>
      <c r="AE36">
        <f>IF(X36="","",AVERAGE(X36:AA36))</f>
      </c>
      <c r="AF36" t="inlineStr">
        <is>
          <t/>
        </is>
      </c>
    </row>
    <row r="37">
      <c r="A37" t="inlineStr">
        <is>
          <t/>
        </is>
      </c>
      <c r="B37" t="inlineStr">
        <is>
          <t/>
        </is>
      </c>
      <c r="C37" t="inlineStr">
        <is>
          <t/>
        </is>
      </c>
      <c r="D37" t="inlineStr">
        <is>
          <t/>
        </is>
      </c>
      <c r="E37" t="inlineStr">
        <is>
          <t/>
        </is>
      </c>
      <c r="F37" t="inlineStr">
        <is>
          <t/>
        </is>
      </c>
      <c r="G37" t="inlineStr">
        <is>
          <t/>
        </is>
      </c>
      <c r="H37" t="inlineStr">
        <is>
          <t/>
        </is>
      </c>
      <c r="I37" t="inlineStr">
        <is>
          <t/>
        </is>
      </c>
      <c r="J37" t="inlineStr">
        <is>
          <t/>
        </is>
      </c>
      <c r="K37" t="inlineStr">
        <is>
          <t/>
        </is>
      </c>
      <c r="L37" t="inlineStr">
        <is>
          <t/>
        </is>
      </c>
      <c r="M37" t="inlineStr">
        <is>
          <t/>
        </is>
      </c>
      <c r="N37" t="inlineStr">
        <is>
          <t/>
        </is>
      </c>
      <c r="O37" t="inlineStr">
        <is>
          <t/>
        </is>
      </c>
      <c r="P37" t="inlineStr">
        <is>
          <t/>
        </is>
      </c>
      <c r="Q37" t="inlineStr">
        <is>
          <t/>
        </is>
      </c>
      <c r="R37" t="inlineStr">
        <is>
          <t/>
        </is>
      </c>
      <c r="S37" t="inlineStr">
        <is>
          <t/>
        </is>
      </c>
      <c r="T37" t="inlineStr">
        <is>
          <t/>
        </is>
      </c>
      <c r="U37" t="inlineStr">
        <is>
          <t/>
        </is>
      </c>
      <c r="V37" t="inlineStr">
        <is>
          <t/>
        </is>
      </c>
      <c r="W37" t="inlineStr">
        <is>
          <t/>
        </is>
      </c>
      <c r="X37" t="inlineStr">
        <is>
          <t/>
        </is>
      </c>
      <c r="Y37" t="inlineStr">
        <is>
          <t/>
        </is>
      </c>
      <c r="Z37" t="inlineStr">
        <is>
          <t/>
        </is>
      </c>
      <c r="AA37" t="inlineStr">
        <is>
          <t/>
        </is>
      </c>
      <c r="AB37">
        <f>IF(D37="","",((D37-1)+(5-E37)+(F37-1)+(5-G37)+(H37-1)+(5-I37)+(J37-1)+(5-K37)+(L37-1)+(5-M37))*2.5)</f>
      </c>
      <c r="AC37">
        <f>IF(N37="","",AVERAGE(N37:S37))</f>
      </c>
      <c r="AD37">
        <f>IF(T37="","",AVERAGE(T37:W37))</f>
      </c>
      <c r="AE37">
        <f>IF(X37="","",AVERAGE(X37:AA37))</f>
      </c>
      <c r="AF37" t="inlineStr">
        <is>
          <t/>
        </is>
      </c>
    </row>
    <row r="38">
      <c r="A38" t="inlineStr">
        <is>
          <t/>
        </is>
      </c>
      <c r="B38" t="inlineStr">
        <is>
          <t/>
        </is>
      </c>
      <c r="C38" t="inlineStr">
        <is>
          <t/>
        </is>
      </c>
      <c r="D38" t="inlineStr">
        <is>
          <t/>
        </is>
      </c>
      <c r="E38" t="inlineStr">
        <is>
          <t/>
        </is>
      </c>
      <c r="F38" t="inlineStr">
        <is>
          <t/>
        </is>
      </c>
      <c r="G38" t="inlineStr">
        <is>
          <t/>
        </is>
      </c>
      <c r="H38" t="inlineStr">
        <is>
          <t/>
        </is>
      </c>
      <c r="I38" t="inlineStr">
        <is>
          <t/>
        </is>
      </c>
      <c r="J38" t="inlineStr">
        <is>
          <t/>
        </is>
      </c>
      <c r="K38" t="inlineStr">
        <is>
          <t/>
        </is>
      </c>
      <c r="L38" t="inlineStr">
        <is>
          <t/>
        </is>
      </c>
      <c r="M38" t="inlineStr">
        <is>
          <t/>
        </is>
      </c>
      <c r="N38" t="inlineStr">
        <is>
          <t/>
        </is>
      </c>
      <c r="O38" t="inlineStr">
        <is>
          <t/>
        </is>
      </c>
      <c r="P38" t="inlineStr">
        <is>
          <t/>
        </is>
      </c>
      <c r="Q38" t="inlineStr">
        <is>
          <t/>
        </is>
      </c>
      <c r="R38" t="inlineStr">
        <is>
          <t/>
        </is>
      </c>
      <c r="S38" t="inlineStr">
        <is>
          <t/>
        </is>
      </c>
      <c r="T38" t="inlineStr">
        <is>
          <t/>
        </is>
      </c>
      <c r="U38" t="inlineStr">
        <is>
          <t/>
        </is>
      </c>
      <c r="V38" t="inlineStr">
        <is>
          <t/>
        </is>
      </c>
      <c r="W38" t="inlineStr">
        <is>
          <t/>
        </is>
      </c>
      <c r="X38" t="inlineStr">
        <is>
          <t/>
        </is>
      </c>
      <c r="Y38" t="inlineStr">
        <is>
          <t/>
        </is>
      </c>
      <c r="Z38" t="inlineStr">
        <is>
          <t/>
        </is>
      </c>
      <c r="AA38" t="inlineStr">
        <is>
          <t/>
        </is>
      </c>
      <c r="AB38">
        <f>IF(D38="","",((D38-1)+(5-E38)+(F38-1)+(5-G38)+(H38-1)+(5-I38)+(J38-1)+(5-K38)+(L38-1)+(5-M38))*2.5)</f>
      </c>
      <c r="AC38">
        <f>IF(N38="","",AVERAGE(N38:S38))</f>
      </c>
      <c r="AD38">
        <f>IF(T38="","",AVERAGE(T38:W38))</f>
      </c>
      <c r="AE38">
        <f>IF(X38="","",AVERAGE(X38:AA38))</f>
      </c>
      <c r="AF38" t="inlineStr">
        <is>
          <t/>
        </is>
      </c>
    </row>
    <row r="39">
      <c r="A39" t="inlineStr">
        <is>
          <t/>
        </is>
      </c>
      <c r="B39" t="inlineStr">
        <is>
          <t/>
        </is>
      </c>
      <c r="C39" t="inlineStr">
        <is>
          <t/>
        </is>
      </c>
      <c r="D39" t="inlineStr">
        <is>
          <t/>
        </is>
      </c>
      <c r="E39" t="inlineStr">
        <is>
          <t/>
        </is>
      </c>
      <c r="F39" t="inlineStr">
        <is>
          <t/>
        </is>
      </c>
      <c r="G39" t="inlineStr">
        <is>
          <t/>
        </is>
      </c>
      <c r="H39" t="inlineStr">
        <is>
          <t/>
        </is>
      </c>
      <c r="I39" t="inlineStr">
        <is>
          <t/>
        </is>
      </c>
      <c r="J39" t="inlineStr">
        <is>
          <t/>
        </is>
      </c>
      <c r="K39" t="inlineStr">
        <is>
          <t/>
        </is>
      </c>
      <c r="L39" t="inlineStr">
        <is>
          <t/>
        </is>
      </c>
      <c r="M39" t="inlineStr">
        <is>
          <t/>
        </is>
      </c>
      <c r="N39" t="inlineStr">
        <is>
          <t/>
        </is>
      </c>
      <c r="O39" t="inlineStr">
        <is>
          <t/>
        </is>
      </c>
      <c r="P39" t="inlineStr">
        <is>
          <t/>
        </is>
      </c>
      <c r="Q39" t="inlineStr">
        <is>
          <t/>
        </is>
      </c>
      <c r="R39" t="inlineStr">
        <is>
          <t/>
        </is>
      </c>
      <c r="S39" t="inlineStr">
        <is>
          <t/>
        </is>
      </c>
      <c r="T39" t="inlineStr">
        <is>
          <t/>
        </is>
      </c>
      <c r="U39" t="inlineStr">
        <is>
          <t/>
        </is>
      </c>
      <c r="V39" t="inlineStr">
        <is>
          <t/>
        </is>
      </c>
      <c r="W39" t="inlineStr">
        <is>
          <t/>
        </is>
      </c>
      <c r="X39" t="inlineStr">
        <is>
          <t/>
        </is>
      </c>
      <c r="Y39" t="inlineStr">
        <is>
          <t/>
        </is>
      </c>
      <c r="Z39" t="inlineStr">
        <is>
          <t/>
        </is>
      </c>
      <c r="AA39" t="inlineStr">
        <is>
          <t/>
        </is>
      </c>
      <c r="AB39">
        <f>IF(D39="","",((D39-1)+(5-E39)+(F39-1)+(5-G39)+(H39-1)+(5-I39)+(J39-1)+(5-K39)+(L39-1)+(5-M39))*2.5)</f>
      </c>
      <c r="AC39">
        <f>IF(N39="","",AVERAGE(N39:S39))</f>
      </c>
      <c r="AD39">
        <f>IF(T39="","",AVERAGE(T39:W39))</f>
      </c>
      <c r="AE39">
        <f>IF(X39="","",AVERAGE(X39:AA39))</f>
      </c>
      <c r="AF39" t="inlineStr">
        <is>
          <t/>
        </is>
      </c>
    </row>
    <row r="40">
      <c r="A40" t="inlineStr">
        <is>
          <t/>
        </is>
      </c>
      <c r="B40" t="inlineStr">
        <is>
          <t/>
        </is>
      </c>
      <c r="C40" t="inlineStr">
        <is>
          <t/>
        </is>
      </c>
      <c r="D40" t="inlineStr">
        <is>
          <t/>
        </is>
      </c>
      <c r="E40" t="inlineStr">
        <is>
          <t/>
        </is>
      </c>
      <c r="F40" t="inlineStr">
        <is>
          <t/>
        </is>
      </c>
      <c r="G40" t="inlineStr">
        <is>
          <t/>
        </is>
      </c>
      <c r="H40" t="inlineStr">
        <is>
          <t/>
        </is>
      </c>
      <c r="I40" t="inlineStr">
        <is>
          <t/>
        </is>
      </c>
      <c r="J40" t="inlineStr">
        <is>
          <t/>
        </is>
      </c>
      <c r="K40" t="inlineStr">
        <is>
          <t/>
        </is>
      </c>
      <c r="L40" t="inlineStr">
        <is>
          <t/>
        </is>
      </c>
      <c r="M40" t="inlineStr">
        <is>
          <t/>
        </is>
      </c>
      <c r="N40" t="inlineStr">
        <is>
          <t/>
        </is>
      </c>
      <c r="O40" t="inlineStr">
        <is>
          <t/>
        </is>
      </c>
      <c r="P40" t="inlineStr">
        <is>
          <t/>
        </is>
      </c>
      <c r="Q40" t="inlineStr">
        <is>
          <t/>
        </is>
      </c>
      <c r="R40" t="inlineStr">
        <is>
          <t/>
        </is>
      </c>
      <c r="S40" t="inlineStr">
        <is>
          <t/>
        </is>
      </c>
      <c r="T40" t="inlineStr">
        <is>
          <t/>
        </is>
      </c>
      <c r="U40" t="inlineStr">
        <is>
          <t/>
        </is>
      </c>
      <c r="V40" t="inlineStr">
        <is>
          <t/>
        </is>
      </c>
      <c r="W40" t="inlineStr">
        <is>
          <t/>
        </is>
      </c>
      <c r="X40" t="inlineStr">
        <is>
          <t/>
        </is>
      </c>
      <c r="Y40" t="inlineStr">
        <is>
          <t/>
        </is>
      </c>
      <c r="Z40" t="inlineStr">
        <is>
          <t/>
        </is>
      </c>
      <c r="AA40" t="inlineStr">
        <is>
          <t/>
        </is>
      </c>
      <c r="AB40">
        <f>IF(D40="","",((D40-1)+(5-E40)+(F40-1)+(5-G40)+(H40-1)+(5-I40)+(J40-1)+(5-K40)+(L40-1)+(5-M40))*2.5)</f>
      </c>
      <c r="AC40">
        <f>IF(N40="","",AVERAGE(N40:S40))</f>
      </c>
      <c r="AD40">
        <f>IF(T40="","",AVERAGE(T40:W40))</f>
      </c>
      <c r="AE40">
        <f>IF(X40="","",AVERAGE(X40:AA40))</f>
      </c>
      <c r="AF40" t="inlineStr">
        <is>
          <t/>
        </is>
      </c>
    </row>
    <row r="41">
      <c r="A41" t="inlineStr">
        <is>
          <t/>
        </is>
      </c>
      <c r="B41" t="inlineStr">
        <is>
          <t/>
        </is>
      </c>
      <c r="C41" t="inlineStr">
        <is>
          <t/>
        </is>
      </c>
      <c r="D41" t="inlineStr">
        <is>
          <t/>
        </is>
      </c>
      <c r="E41" t="inlineStr">
        <is>
          <t/>
        </is>
      </c>
      <c r="F41" t="inlineStr">
        <is>
          <t/>
        </is>
      </c>
      <c r="G41" t="inlineStr">
        <is>
          <t/>
        </is>
      </c>
      <c r="H41" t="inlineStr">
        <is>
          <t/>
        </is>
      </c>
      <c r="I41" t="inlineStr">
        <is>
          <t/>
        </is>
      </c>
      <c r="J41" t="inlineStr">
        <is>
          <t/>
        </is>
      </c>
      <c r="K41" t="inlineStr">
        <is>
          <t/>
        </is>
      </c>
      <c r="L41" t="inlineStr">
        <is>
          <t/>
        </is>
      </c>
      <c r="M41" t="inlineStr">
        <is>
          <t/>
        </is>
      </c>
      <c r="N41" t="inlineStr">
        <is>
          <t/>
        </is>
      </c>
      <c r="O41" t="inlineStr">
        <is>
          <t/>
        </is>
      </c>
      <c r="P41" t="inlineStr">
        <is>
          <t/>
        </is>
      </c>
      <c r="Q41" t="inlineStr">
        <is>
          <t/>
        </is>
      </c>
      <c r="R41" t="inlineStr">
        <is>
          <t/>
        </is>
      </c>
      <c r="S41" t="inlineStr">
        <is>
          <t/>
        </is>
      </c>
      <c r="T41" t="inlineStr">
        <is>
          <t/>
        </is>
      </c>
      <c r="U41" t="inlineStr">
        <is>
          <t/>
        </is>
      </c>
      <c r="V41" t="inlineStr">
        <is>
          <t/>
        </is>
      </c>
      <c r="W41" t="inlineStr">
        <is>
          <t/>
        </is>
      </c>
      <c r="X41" t="inlineStr">
        <is>
          <t/>
        </is>
      </c>
      <c r="Y41" t="inlineStr">
        <is>
          <t/>
        </is>
      </c>
      <c r="Z41" t="inlineStr">
        <is>
          <t/>
        </is>
      </c>
      <c r="AA41" t="inlineStr">
        <is>
          <t/>
        </is>
      </c>
      <c r="AB41">
        <f>IF(D41="","",((D41-1)+(5-E41)+(F41-1)+(5-G41)+(H41-1)+(5-I41)+(J41-1)+(5-K41)+(L41-1)+(5-M41))*2.5)</f>
      </c>
      <c r="AC41">
        <f>IF(N41="","",AVERAGE(N41:S41))</f>
      </c>
      <c r="AD41">
        <f>IF(T41="","",AVERAGE(T41:W41))</f>
      </c>
      <c r="AE41">
        <f>IF(X41="","",AVERAGE(X41:AA41))</f>
      </c>
      <c r="AF41" t="inlineStr">
        <is>
          <t/>
        </is>
      </c>
    </row>
    <row r="42">
      <c r="A42" t="inlineStr">
        <is>
          <t/>
        </is>
      </c>
      <c r="B42" t="inlineStr">
        <is>
          <t/>
        </is>
      </c>
      <c r="C42" t="inlineStr">
        <is>
          <t/>
        </is>
      </c>
      <c r="D42" t="inlineStr">
        <is>
          <t/>
        </is>
      </c>
      <c r="E42" t="inlineStr">
        <is>
          <t/>
        </is>
      </c>
      <c r="F42" t="inlineStr">
        <is>
          <t/>
        </is>
      </c>
      <c r="G42" t="inlineStr">
        <is>
          <t/>
        </is>
      </c>
      <c r="H42" t="inlineStr">
        <is>
          <t/>
        </is>
      </c>
      <c r="I42" t="inlineStr">
        <is>
          <t/>
        </is>
      </c>
      <c r="J42" t="inlineStr">
        <is>
          <t/>
        </is>
      </c>
      <c r="K42" t="inlineStr">
        <is>
          <t/>
        </is>
      </c>
      <c r="L42" t="inlineStr">
        <is>
          <t/>
        </is>
      </c>
      <c r="M42" t="inlineStr">
        <is>
          <t/>
        </is>
      </c>
      <c r="N42" t="inlineStr">
        <is>
          <t/>
        </is>
      </c>
      <c r="O42" t="inlineStr">
        <is>
          <t/>
        </is>
      </c>
      <c r="P42" t="inlineStr">
        <is>
          <t/>
        </is>
      </c>
      <c r="Q42" t="inlineStr">
        <is>
          <t/>
        </is>
      </c>
      <c r="R42" t="inlineStr">
        <is>
          <t/>
        </is>
      </c>
      <c r="S42" t="inlineStr">
        <is>
          <t/>
        </is>
      </c>
      <c r="T42" t="inlineStr">
        <is>
          <t/>
        </is>
      </c>
      <c r="U42" t="inlineStr">
        <is>
          <t/>
        </is>
      </c>
      <c r="V42" t="inlineStr">
        <is>
          <t/>
        </is>
      </c>
      <c r="W42" t="inlineStr">
        <is>
          <t/>
        </is>
      </c>
      <c r="X42" t="inlineStr">
        <is>
          <t/>
        </is>
      </c>
      <c r="Y42" t="inlineStr">
        <is>
          <t/>
        </is>
      </c>
      <c r="Z42" t="inlineStr">
        <is>
          <t/>
        </is>
      </c>
      <c r="AA42" t="inlineStr">
        <is>
          <t/>
        </is>
      </c>
      <c r="AB42">
        <f>IF(D42="","",((D42-1)+(5-E42)+(F42-1)+(5-G42)+(H42-1)+(5-I42)+(J42-1)+(5-K42)+(L42-1)+(5-M42))*2.5)</f>
      </c>
      <c r="AC42">
        <f>IF(N42="","",AVERAGE(N42:S42))</f>
      </c>
      <c r="AD42">
        <f>IF(T42="","",AVERAGE(T42:W42))</f>
      </c>
      <c r="AE42">
        <f>IF(X42="","",AVERAGE(X42:AA42))</f>
      </c>
      <c r="AF42" t="inlineStr">
        <is>
          <t/>
        </is>
      </c>
    </row>
    <row r="43">
      <c r="A43" t="inlineStr">
        <is>
          <t/>
        </is>
      </c>
      <c r="B43" t="inlineStr">
        <is>
          <t/>
        </is>
      </c>
      <c r="C43" t="inlineStr">
        <is>
          <t/>
        </is>
      </c>
      <c r="D43" t="inlineStr">
        <is>
          <t/>
        </is>
      </c>
      <c r="E43" t="inlineStr">
        <is>
          <t/>
        </is>
      </c>
      <c r="F43" t="inlineStr">
        <is>
          <t/>
        </is>
      </c>
      <c r="G43" t="inlineStr">
        <is>
          <t/>
        </is>
      </c>
      <c r="H43" t="inlineStr">
        <is>
          <t/>
        </is>
      </c>
      <c r="I43" t="inlineStr">
        <is>
          <t/>
        </is>
      </c>
      <c r="J43" t="inlineStr">
        <is>
          <t/>
        </is>
      </c>
      <c r="K43" t="inlineStr">
        <is>
          <t/>
        </is>
      </c>
      <c r="L43" t="inlineStr">
        <is>
          <t/>
        </is>
      </c>
      <c r="M43" t="inlineStr">
        <is>
          <t/>
        </is>
      </c>
      <c r="N43" t="inlineStr">
        <is>
          <t/>
        </is>
      </c>
      <c r="O43" t="inlineStr">
        <is>
          <t/>
        </is>
      </c>
      <c r="P43" t="inlineStr">
        <is>
          <t/>
        </is>
      </c>
      <c r="Q43" t="inlineStr">
        <is>
          <t/>
        </is>
      </c>
      <c r="R43" t="inlineStr">
        <is>
          <t/>
        </is>
      </c>
      <c r="S43" t="inlineStr">
        <is>
          <t/>
        </is>
      </c>
      <c r="T43" t="inlineStr">
        <is>
          <t/>
        </is>
      </c>
      <c r="U43" t="inlineStr">
        <is>
          <t/>
        </is>
      </c>
      <c r="V43" t="inlineStr">
        <is>
          <t/>
        </is>
      </c>
      <c r="W43" t="inlineStr">
        <is>
          <t/>
        </is>
      </c>
      <c r="X43" t="inlineStr">
        <is>
          <t/>
        </is>
      </c>
      <c r="Y43" t="inlineStr">
        <is>
          <t/>
        </is>
      </c>
      <c r="Z43" t="inlineStr">
        <is>
          <t/>
        </is>
      </c>
      <c r="AA43" t="inlineStr">
        <is>
          <t/>
        </is>
      </c>
      <c r="AB43">
        <f>IF(D43="","",((D43-1)+(5-E43)+(F43-1)+(5-G43)+(H43-1)+(5-I43)+(J43-1)+(5-K43)+(L43-1)+(5-M43))*2.5)</f>
      </c>
      <c r="AC43">
        <f>IF(N43="","",AVERAGE(N43:S43))</f>
      </c>
      <c r="AD43">
        <f>IF(T43="","",AVERAGE(T43:W43))</f>
      </c>
      <c r="AE43">
        <f>IF(X43="","",AVERAGE(X43:AA43))</f>
      </c>
      <c r="AF43" t="inlineStr">
        <is>
          <t/>
        </is>
      </c>
    </row>
    <row r="44">
      <c r="A44" t="inlineStr">
        <is>
          <t/>
        </is>
      </c>
      <c r="B44" t="inlineStr">
        <is>
          <t/>
        </is>
      </c>
      <c r="C44" t="inlineStr">
        <is>
          <t/>
        </is>
      </c>
      <c r="D44" t="inlineStr">
        <is>
          <t/>
        </is>
      </c>
      <c r="E44" t="inlineStr">
        <is>
          <t/>
        </is>
      </c>
      <c r="F44" t="inlineStr">
        <is>
          <t/>
        </is>
      </c>
      <c r="G44" t="inlineStr">
        <is>
          <t/>
        </is>
      </c>
      <c r="H44" t="inlineStr">
        <is>
          <t/>
        </is>
      </c>
      <c r="I44" t="inlineStr">
        <is>
          <t/>
        </is>
      </c>
      <c r="J44" t="inlineStr">
        <is>
          <t/>
        </is>
      </c>
      <c r="K44" t="inlineStr">
        <is>
          <t/>
        </is>
      </c>
      <c r="L44" t="inlineStr">
        <is>
          <t/>
        </is>
      </c>
      <c r="M44" t="inlineStr">
        <is>
          <t/>
        </is>
      </c>
      <c r="N44" t="inlineStr">
        <is>
          <t/>
        </is>
      </c>
      <c r="O44" t="inlineStr">
        <is>
          <t/>
        </is>
      </c>
      <c r="P44" t="inlineStr">
        <is>
          <t/>
        </is>
      </c>
      <c r="Q44" t="inlineStr">
        <is>
          <t/>
        </is>
      </c>
      <c r="R44" t="inlineStr">
        <is>
          <t/>
        </is>
      </c>
      <c r="S44" t="inlineStr">
        <is>
          <t/>
        </is>
      </c>
      <c r="T44" t="inlineStr">
        <is>
          <t/>
        </is>
      </c>
      <c r="U44" t="inlineStr">
        <is>
          <t/>
        </is>
      </c>
      <c r="V44" t="inlineStr">
        <is>
          <t/>
        </is>
      </c>
      <c r="W44" t="inlineStr">
        <is>
          <t/>
        </is>
      </c>
      <c r="X44" t="inlineStr">
        <is>
          <t/>
        </is>
      </c>
      <c r="Y44" t="inlineStr">
        <is>
          <t/>
        </is>
      </c>
      <c r="Z44" t="inlineStr">
        <is>
          <t/>
        </is>
      </c>
      <c r="AA44" t="inlineStr">
        <is>
          <t/>
        </is>
      </c>
      <c r="AB44">
        <f>IF(D44="","",((D44-1)+(5-E44)+(F44-1)+(5-G44)+(H44-1)+(5-I44)+(J44-1)+(5-K44)+(L44-1)+(5-M44))*2.5)</f>
      </c>
      <c r="AC44">
        <f>IF(N44="","",AVERAGE(N44:S44))</f>
      </c>
      <c r="AD44">
        <f>IF(T44="","",AVERAGE(T44:W44))</f>
      </c>
      <c r="AE44">
        <f>IF(X44="","",AVERAGE(X44:AA44))</f>
      </c>
      <c r="AF44" t="inlineStr">
        <is>
          <t/>
        </is>
      </c>
    </row>
    <row r="45">
      <c r="A45" t="inlineStr">
        <is>
          <t/>
        </is>
      </c>
      <c r="B45" t="inlineStr">
        <is>
          <t/>
        </is>
      </c>
      <c r="C45" t="inlineStr">
        <is>
          <t/>
        </is>
      </c>
      <c r="D45" t="inlineStr">
        <is>
          <t/>
        </is>
      </c>
      <c r="E45" t="inlineStr">
        <is>
          <t/>
        </is>
      </c>
      <c r="F45" t="inlineStr">
        <is>
          <t/>
        </is>
      </c>
      <c r="G45" t="inlineStr">
        <is>
          <t/>
        </is>
      </c>
      <c r="H45" t="inlineStr">
        <is>
          <t/>
        </is>
      </c>
      <c r="I45" t="inlineStr">
        <is>
          <t/>
        </is>
      </c>
      <c r="J45" t="inlineStr">
        <is>
          <t/>
        </is>
      </c>
      <c r="K45" t="inlineStr">
        <is>
          <t/>
        </is>
      </c>
      <c r="L45" t="inlineStr">
        <is>
          <t/>
        </is>
      </c>
      <c r="M45" t="inlineStr">
        <is>
          <t/>
        </is>
      </c>
      <c r="N45" t="inlineStr">
        <is>
          <t/>
        </is>
      </c>
      <c r="O45" t="inlineStr">
        <is>
          <t/>
        </is>
      </c>
      <c r="P45" t="inlineStr">
        <is>
          <t/>
        </is>
      </c>
      <c r="Q45" t="inlineStr">
        <is>
          <t/>
        </is>
      </c>
      <c r="R45" t="inlineStr">
        <is>
          <t/>
        </is>
      </c>
      <c r="S45" t="inlineStr">
        <is>
          <t/>
        </is>
      </c>
      <c r="T45" t="inlineStr">
        <is>
          <t/>
        </is>
      </c>
      <c r="U45" t="inlineStr">
        <is>
          <t/>
        </is>
      </c>
      <c r="V45" t="inlineStr">
        <is>
          <t/>
        </is>
      </c>
      <c r="W45" t="inlineStr">
        <is>
          <t/>
        </is>
      </c>
      <c r="X45" t="inlineStr">
        <is>
          <t/>
        </is>
      </c>
      <c r="Y45" t="inlineStr">
        <is>
          <t/>
        </is>
      </c>
      <c r="Z45" t="inlineStr">
        <is>
          <t/>
        </is>
      </c>
      <c r="AA45" t="inlineStr">
        <is>
          <t/>
        </is>
      </c>
      <c r="AB45">
        <f>IF(D45="","",((D45-1)+(5-E45)+(F45-1)+(5-G45)+(H45-1)+(5-I45)+(J45-1)+(5-K45)+(L45-1)+(5-M45))*2.5)</f>
      </c>
      <c r="AC45">
        <f>IF(N45="","",AVERAGE(N45:S45))</f>
      </c>
      <c r="AD45">
        <f>IF(T45="","",AVERAGE(T45:W45))</f>
      </c>
      <c r="AE45">
        <f>IF(X45="","",AVERAGE(X45:AA45))</f>
      </c>
      <c r="AF45" t="inlineStr">
        <is>
          <t/>
        </is>
      </c>
    </row>
    <row r="46">
      <c r="A46" t="inlineStr">
        <is>
          <t/>
        </is>
      </c>
      <c r="B46" t="inlineStr">
        <is>
          <t/>
        </is>
      </c>
      <c r="C46" t="inlineStr">
        <is>
          <t/>
        </is>
      </c>
      <c r="D46" t="inlineStr">
        <is>
          <t/>
        </is>
      </c>
      <c r="E46" t="inlineStr">
        <is>
          <t/>
        </is>
      </c>
      <c r="F46" t="inlineStr">
        <is>
          <t/>
        </is>
      </c>
      <c r="G46" t="inlineStr">
        <is>
          <t/>
        </is>
      </c>
      <c r="H46" t="inlineStr">
        <is>
          <t/>
        </is>
      </c>
      <c r="I46" t="inlineStr">
        <is>
          <t/>
        </is>
      </c>
      <c r="J46" t="inlineStr">
        <is>
          <t/>
        </is>
      </c>
      <c r="K46" t="inlineStr">
        <is>
          <t/>
        </is>
      </c>
      <c r="L46" t="inlineStr">
        <is>
          <t/>
        </is>
      </c>
      <c r="M46" t="inlineStr">
        <is>
          <t/>
        </is>
      </c>
      <c r="N46" t="inlineStr">
        <is>
          <t/>
        </is>
      </c>
      <c r="O46" t="inlineStr">
        <is>
          <t/>
        </is>
      </c>
      <c r="P46" t="inlineStr">
        <is>
          <t/>
        </is>
      </c>
      <c r="Q46" t="inlineStr">
        <is>
          <t/>
        </is>
      </c>
      <c r="R46" t="inlineStr">
        <is>
          <t/>
        </is>
      </c>
      <c r="S46" t="inlineStr">
        <is>
          <t/>
        </is>
      </c>
      <c r="T46" t="inlineStr">
        <is>
          <t/>
        </is>
      </c>
      <c r="U46" t="inlineStr">
        <is>
          <t/>
        </is>
      </c>
      <c r="V46" t="inlineStr">
        <is>
          <t/>
        </is>
      </c>
      <c r="W46" t="inlineStr">
        <is>
          <t/>
        </is>
      </c>
      <c r="X46" t="inlineStr">
        <is>
          <t/>
        </is>
      </c>
      <c r="Y46" t="inlineStr">
        <is>
          <t/>
        </is>
      </c>
      <c r="Z46" t="inlineStr">
        <is>
          <t/>
        </is>
      </c>
      <c r="AA46" t="inlineStr">
        <is>
          <t/>
        </is>
      </c>
      <c r="AB46">
        <f>IF(D46="","",((D46-1)+(5-E46)+(F46-1)+(5-G46)+(H46-1)+(5-I46)+(J46-1)+(5-K46)+(L46-1)+(5-M46))*2.5)</f>
      </c>
      <c r="AC46">
        <f>IF(N46="","",AVERAGE(N46:S46))</f>
      </c>
      <c r="AD46">
        <f>IF(T46="","",AVERAGE(T46:W46))</f>
      </c>
      <c r="AE46">
        <f>IF(X46="","",AVERAGE(X46:AA46))</f>
      </c>
      <c r="AF46" t="inlineStr">
        <is>
          <t/>
        </is>
      </c>
    </row>
    <row r="47">
      <c r="A47" t="inlineStr">
        <is>
          <t/>
        </is>
      </c>
      <c r="B47" t="inlineStr">
        <is>
          <t/>
        </is>
      </c>
      <c r="C47" t="inlineStr">
        <is>
          <t/>
        </is>
      </c>
      <c r="D47" t="inlineStr">
        <is>
          <t/>
        </is>
      </c>
      <c r="E47" t="inlineStr">
        <is>
          <t/>
        </is>
      </c>
      <c r="F47" t="inlineStr">
        <is>
          <t/>
        </is>
      </c>
      <c r="G47" t="inlineStr">
        <is>
          <t/>
        </is>
      </c>
      <c r="H47" t="inlineStr">
        <is>
          <t/>
        </is>
      </c>
      <c r="I47" t="inlineStr">
        <is>
          <t/>
        </is>
      </c>
      <c r="J47" t="inlineStr">
        <is>
          <t/>
        </is>
      </c>
      <c r="K47" t="inlineStr">
        <is>
          <t/>
        </is>
      </c>
      <c r="L47" t="inlineStr">
        <is>
          <t/>
        </is>
      </c>
      <c r="M47" t="inlineStr">
        <is>
          <t/>
        </is>
      </c>
      <c r="N47" t="inlineStr">
        <is>
          <t/>
        </is>
      </c>
      <c r="O47" t="inlineStr">
        <is>
          <t/>
        </is>
      </c>
      <c r="P47" t="inlineStr">
        <is>
          <t/>
        </is>
      </c>
      <c r="Q47" t="inlineStr">
        <is>
          <t/>
        </is>
      </c>
      <c r="R47" t="inlineStr">
        <is>
          <t/>
        </is>
      </c>
      <c r="S47" t="inlineStr">
        <is>
          <t/>
        </is>
      </c>
      <c r="T47" t="inlineStr">
        <is>
          <t/>
        </is>
      </c>
      <c r="U47" t="inlineStr">
        <is>
          <t/>
        </is>
      </c>
      <c r="V47" t="inlineStr">
        <is>
          <t/>
        </is>
      </c>
      <c r="W47" t="inlineStr">
        <is>
          <t/>
        </is>
      </c>
      <c r="X47" t="inlineStr">
        <is>
          <t/>
        </is>
      </c>
      <c r="Y47" t="inlineStr">
        <is>
          <t/>
        </is>
      </c>
      <c r="Z47" t="inlineStr">
        <is>
          <t/>
        </is>
      </c>
      <c r="AA47" t="inlineStr">
        <is>
          <t/>
        </is>
      </c>
      <c r="AB47">
        <f>IF(D47="","",((D47-1)+(5-E47)+(F47-1)+(5-G47)+(H47-1)+(5-I47)+(J47-1)+(5-K47)+(L47-1)+(5-M47))*2.5)</f>
      </c>
      <c r="AC47">
        <f>IF(N47="","",AVERAGE(N47:S47))</f>
      </c>
      <c r="AD47">
        <f>IF(T47="","",AVERAGE(T47:W47))</f>
      </c>
      <c r="AE47">
        <f>IF(X47="","",AVERAGE(X47:AA47))</f>
      </c>
      <c r="AF47" t="inlineStr">
        <is>
          <t/>
        </is>
      </c>
    </row>
    <row r="48">
      <c r="A48" t="inlineStr">
        <is>
          <t/>
        </is>
      </c>
      <c r="B48" t="inlineStr">
        <is>
          <t/>
        </is>
      </c>
      <c r="C48" t="inlineStr">
        <is>
          <t/>
        </is>
      </c>
      <c r="D48" t="inlineStr">
        <is>
          <t/>
        </is>
      </c>
      <c r="E48" t="inlineStr">
        <is>
          <t/>
        </is>
      </c>
      <c r="F48" t="inlineStr">
        <is>
          <t/>
        </is>
      </c>
      <c r="G48" t="inlineStr">
        <is>
          <t/>
        </is>
      </c>
      <c r="H48" t="inlineStr">
        <is>
          <t/>
        </is>
      </c>
      <c r="I48" t="inlineStr">
        <is>
          <t/>
        </is>
      </c>
      <c r="J48" t="inlineStr">
        <is>
          <t/>
        </is>
      </c>
      <c r="K48" t="inlineStr">
        <is>
          <t/>
        </is>
      </c>
      <c r="L48" t="inlineStr">
        <is>
          <t/>
        </is>
      </c>
      <c r="M48" t="inlineStr">
        <is>
          <t/>
        </is>
      </c>
      <c r="N48" t="inlineStr">
        <is>
          <t/>
        </is>
      </c>
      <c r="O48" t="inlineStr">
        <is>
          <t/>
        </is>
      </c>
      <c r="P48" t="inlineStr">
        <is>
          <t/>
        </is>
      </c>
      <c r="Q48" t="inlineStr">
        <is>
          <t/>
        </is>
      </c>
      <c r="R48" t="inlineStr">
        <is>
          <t/>
        </is>
      </c>
      <c r="S48" t="inlineStr">
        <is>
          <t/>
        </is>
      </c>
      <c r="T48" t="inlineStr">
        <is>
          <t/>
        </is>
      </c>
      <c r="U48" t="inlineStr">
        <is>
          <t/>
        </is>
      </c>
      <c r="V48" t="inlineStr">
        <is>
          <t/>
        </is>
      </c>
      <c r="W48" t="inlineStr">
        <is>
          <t/>
        </is>
      </c>
      <c r="X48" t="inlineStr">
        <is>
          <t/>
        </is>
      </c>
      <c r="Y48" t="inlineStr">
        <is>
          <t/>
        </is>
      </c>
      <c r="Z48" t="inlineStr">
        <is>
          <t/>
        </is>
      </c>
      <c r="AA48" t="inlineStr">
        <is>
          <t/>
        </is>
      </c>
      <c r="AB48">
        <f>IF(D48="","",((D48-1)+(5-E48)+(F48-1)+(5-G48)+(H48-1)+(5-I48)+(J48-1)+(5-K48)+(L48-1)+(5-M48))*2.5)</f>
      </c>
      <c r="AC48">
        <f>IF(N48="","",AVERAGE(N48:S48))</f>
      </c>
      <c r="AD48">
        <f>IF(T48="","",AVERAGE(T48:W48))</f>
      </c>
      <c r="AE48">
        <f>IF(X48="","",AVERAGE(X48:AA48))</f>
      </c>
      <c r="AF48" t="inlineStr">
        <is>
          <t/>
        </is>
      </c>
    </row>
    <row r="49">
      <c r="A49" t="inlineStr">
        <is>
          <t/>
        </is>
      </c>
      <c r="B49" t="inlineStr">
        <is>
          <t/>
        </is>
      </c>
      <c r="C49" t="inlineStr">
        <is>
          <t/>
        </is>
      </c>
      <c r="D49" t="inlineStr">
        <is>
          <t/>
        </is>
      </c>
      <c r="E49" t="inlineStr">
        <is>
          <t/>
        </is>
      </c>
      <c r="F49" t="inlineStr">
        <is>
          <t/>
        </is>
      </c>
      <c r="G49" t="inlineStr">
        <is>
          <t/>
        </is>
      </c>
      <c r="H49" t="inlineStr">
        <is>
          <t/>
        </is>
      </c>
      <c r="I49" t="inlineStr">
        <is>
          <t/>
        </is>
      </c>
      <c r="J49" t="inlineStr">
        <is>
          <t/>
        </is>
      </c>
      <c r="K49" t="inlineStr">
        <is>
          <t/>
        </is>
      </c>
      <c r="L49" t="inlineStr">
        <is>
          <t/>
        </is>
      </c>
      <c r="M49" t="inlineStr">
        <is>
          <t/>
        </is>
      </c>
      <c r="N49" t="inlineStr">
        <is>
          <t/>
        </is>
      </c>
      <c r="O49" t="inlineStr">
        <is>
          <t/>
        </is>
      </c>
      <c r="P49" t="inlineStr">
        <is>
          <t/>
        </is>
      </c>
      <c r="Q49" t="inlineStr">
        <is>
          <t/>
        </is>
      </c>
      <c r="R49" t="inlineStr">
        <is>
          <t/>
        </is>
      </c>
      <c r="S49" t="inlineStr">
        <is>
          <t/>
        </is>
      </c>
      <c r="T49" t="inlineStr">
        <is>
          <t/>
        </is>
      </c>
      <c r="U49" t="inlineStr">
        <is>
          <t/>
        </is>
      </c>
      <c r="V49" t="inlineStr">
        <is>
          <t/>
        </is>
      </c>
      <c r="W49" t="inlineStr">
        <is>
          <t/>
        </is>
      </c>
      <c r="X49" t="inlineStr">
        <is>
          <t/>
        </is>
      </c>
      <c r="Y49" t="inlineStr">
        <is>
          <t/>
        </is>
      </c>
      <c r="Z49" t="inlineStr">
        <is>
          <t/>
        </is>
      </c>
      <c r="AA49" t="inlineStr">
        <is>
          <t/>
        </is>
      </c>
      <c r="AB49">
        <f>IF(D49="","",((D49-1)+(5-E49)+(F49-1)+(5-G49)+(H49-1)+(5-I49)+(J49-1)+(5-K49)+(L49-1)+(5-M49))*2.5)</f>
      </c>
      <c r="AC49">
        <f>IF(N49="","",AVERAGE(N49:S49))</f>
      </c>
      <c r="AD49">
        <f>IF(T49="","",AVERAGE(T49:W49))</f>
      </c>
      <c r="AE49">
        <f>IF(X49="","",AVERAGE(X49:AA49))</f>
      </c>
      <c r="AF49" t="inlineStr">
        <is>
          <t/>
        </is>
      </c>
    </row>
    <row r="50">
      <c r="A50" t="inlineStr">
        <is>
          <t/>
        </is>
      </c>
      <c r="B50" t="inlineStr">
        <is>
          <t/>
        </is>
      </c>
      <c r="C50" t="inlineStr">
        <is>
          <t/>
        </is>
      </c>
      <c r="D50" t="inlineStr">
        <is>
          <t/>
        </is>
      </c>
      <c r="E50" t="inlineStr">
        <is>
          <t/>
        </is>
      </c>
      <c r="F50" t="inlineStr">
        <is>
          <t/>
        </is>
      </c>
      <c r="G50" t="inlineStr">
        <is>
          <t/>
        </is>
      </c>
      <c r="H50" t="inlineStr">
        <is>
          <t/>
        </is>
      </c>
      <c r="I50" t="inlineStr">
        <is>
          <t/>
        </is>
      </c>
      <c r="J50" t="inlineStr">
        <is>
          <t/>
        </is>
      </c>
      <c r="K50" t="inlineStr">
        <is>
          <t/>
        </is>
      </c>
      <c r="L50" t="inlineStr">
        <is>
          <t/>
        </is>
      </c>
      <c r="M50" t="inlineStr">
        <is>
          <t/>
        </is>
      </c>
      <c r="N50" t="inlineStr">
        <is>
          <t/>
        </is>
      </c>
      <c r="O50" t="inlineStr">
        <is>
          <t/>
        </is>
      </c>
      <c r="P50" t="inlineStr">
        <is>
          <t/>
        </is>
      </c>
      <c r="Q50" t="inlineStr">
        <is>
          <t/>
        </is>
      </c>
      <c r="R50" t="inlineStr">
        <is>
          <t/>
        </is>
      </c>
      <c r="S50" t="inlineStr">
        <is>
          <t/>
        </is>
      </c>
      <c r="T50" t="inlineStr">
        <is>
          <t/>
        </is>
      </c>
      <c r="U50" t="inlineStr">
        <is>
          <t/>
        </is>
      </c>
      <c r="V50" t="inlineStr">
        <is>
          <t/>
        </is>
      </c>
      <c r="W50" t="inlineStr">
        <is>
          <t/>
        </is>
      </c>
      <c r="X50" t="inlineStr">
        <is>
          <t/>
        </is>
      </c>
      <c r="Y50" t="inlineStr">
        <is>
          <t/>
        </is>
      </c>
      <c r="Z50" t="inlineStr">
        <is>
          <t/>
        </is>
      </c>
      <c r="AA50" t="inlineStr">
        <is>
          <t/>
        </is>
      </c>
      <c r="AB50">
        <f>IF(D50="","",((D50-1)+(5-E50)+(F50-1)+(5-G50)+(H50-1)+(5-I50)+(J50-1)+(5-K50)+(L50-1)+(5-M50))*2.5)</f>
      </c>
      <c r="AC50">
        <f>IF(N50="","",AVERAGE(N50:S50))</f>
      </c>
      <c r="AD50">
        <f>IF(T50="","",AVERAGE(T50:W50))</f>
      </c>
      <c r="AE50">
        <f>IF(X50="","",AVERAGE(X50:AA50))</f>
      </c>
      <c r="AF50" t="inlineStr">
        <is>
          <t/>
        </is>
      </c>
    </row>
    <row r="51">
      <c r="A51" t="inlineStr">
        <is>
          <t/>
        </is>
      </c>
      <c r="B51" t="inlineStr">
        <is>
          <t/>
        </is>
      </c>
      <c r="C51" t="inlineStr">
        <is>
          <t/>
        </is>
      </c>
      <c r="D51" t="inlineStr">
        <is>
          <t/>
        </is>
      </c>
      <c r="E51" t="inlineStr">
        <is>
          <t/>
        </is>
      </c>
      <c r="F51" t="inlineStr">
        <is>
          <t/>
        </is>
      </c>
      <c r="G51" t="inlineStr">
        <is>
          <t/>
        </is>
      </c>
      <c r="H51" t="inlineStr">
        <is>
          <t/>
        </is>
      </c>
      <c r="I51" t="inlineStr">
        <is>
          <t/>
        </is>
      </c>
      <c r="J51" t="inlineStr">
        <is>
          <t/>
        </is>
      </c>
      <c r="K51" t="inlineStr">
        <is>
          <t/>
        </is>
      </c>
      <c r="L51" t="inlineStr">
        <is>
          <t/>
        </is>
      </c>
      <c r="M51" t="inlineStr">
        <is>
          <t/>
        </is>
      </c>
      <c r="N51" t="inlineStr">
        <is>
          <t/>
        </is>
      </c>
      <c r="O51" t="inlineStr">
        <is>
          <t/>
        </is>
      </c>
      <c r="P51" t="inlineStr">
        <is>
          <t/>
        </is>
      </c>
      <c r="Q51" t="inlineStr">
        <is>
          <t/>
        </is>
      </c>
      <c r="R51" t="inlineStr">
        <is>
          <t/>
        </is>
      </c>
      <c r="S51" t="inlineStr">
        <is>
          <t/>
        </is>
      </c>
      <c r="T51" t="inlineStr">
        <is>
          <t/>
        </is>
      </c>
      <c r="U51" t="inlineStr">
        <is>
          <t/>
        </is>
      </c>
      <c r="V51" t="inlineStr">
        <is>
          <t/>
        </is>
      </c>
      <c r="W51" t="inlineStr">
        <is>
          <t/>
        </is>
      </c>
      <c r="X51" t="inlineStr">
        <is>
          <t/>
        </is>
      </c>
      <c r="Y51" t="inlineStr">
        <is>
          <t/>
        </is>
      </c>
      <c r="Z51" t="inlineStr">
        <is>
          <t/>
        </is>
      </c>
      <c r="AA51" t="inlineStr">
        <is>
          <t/>
        </is>
      </c>
      <c r="AB51">
        <f>IF(D51="","",((D51-1)+(5-E51)+(F51-1)+(5-G51)+(H51-1)+(5-I51)+(J51-1)+(5-K51)+(L51-1)+(5-M51))*2.5)</f>
      </c>
      <c r="AC51">
        <f>IF(N51="","",AVERAGE(N51:S51))</f>
      </c>
      <c r="AD51">
        <f>IF(T51="","",AVERAGE(T51:W51))</f>
      </c>
      <c r="AE51">
        <f>IF(X51="","",AVERAGE(X51:AA51))</f>
      </c>
      <c r="AF51" t="inlineStr">
        <is>
          <t/>
        </is>
      </c>
    </row>
    <row r="52">
      <c r="A52" t="inlineStr">
        <is>
          <t/>
        </is>
      </c>
      <c r="B52" t="inlineStr">
        <is>
          <t/>
        </is>
      </c>
      <c r="C52" t="inlineStr">
        <is>
          <t/>
        </is>
      </c>
      <c r="D52" t="inlineStr">
        <is>
          <t/>
        </is>
      </c>
      <c r="E52" t="inlineStr">
        <is>
          <t/>
        </is>
      </c>
      <c r="F52" t="inlineStr">
        <is>
          <t/>
        </is>
      </c>
      <c r="G52" t="inlineStr">
        <is>
          <t/>
        </is>
      </c>
      <c r="H52" t="inlineStr">
        <is>
          <t/>
        </is>
      </c>
      <c r="I52" t="inlineStr">
        <is>
          <t/>
        </is>
      </c>
      <c r="J52" t="inlineStr">
        <is>
          <t/>
        </is>
      </c>
      <c r="K52" t="inlineStr">
        <is>
          <t/>
        </is>
      </c>
      <c r="L52" t="inlineStr">
        <is>
          <t/>
        </is>
      </c>
      <c r="M52" t="inlineStr">
        <is>
          <t/>
        </is>
      </c>
      <c r="N52" t="inlineStr">
        <is>
          <t/>
        </is>
      </c>
      <c r="O52" t="inlineStr">
        <is>
          <t/>
        </is>
      </c>
      <c r="P52" t="inlineStr">
        <is>
          <t/>
        </is>
      </c>
      <c r="Q52" t="inlineStr">
        <is>
          <t/>
        </is>
      </c>
      <c r="R52" t="inlineStr">
        <is>
          <t/>
        </is>
      </c>
      <c r="S52" t="inlineStr">
        <is>
          <t/>
        </is>
      </c>
      <c r="T52" t="inlineStr">
        <is>
          <t/>
        </is>
      </c>
      <c r="U52" t="inlineStr">
        <is>
          <t/>
        </is>
      </c>
      <c r="V52" t="inlineStr">
        <is>
          <t/>
        </is>
      </c>
      <c r="W52" t="inlineStr">
        <is>
          <t/>
        </is>
      </c>
      <c r="X52" t="inlineStr">
        <is>
          <t/>
        </is>
      </c>
      <c r="Y52" t="inlineStr">
        <is>
          <t/>
        </is>
      </c>
      <c r="Z52" t="inlineStr">
        <is>
          <t/>
        </is>
      </c>
      <c r="AA52" t="inlineStr">
        <is>
          <t/>
        </is>
      </c>
      <c r="AB52">
        <f>IF(D52="","",((D52-1)+(5-E52)+(F52-1)+(5-G52)+(H52-1)+(5-I52)+(J52-1)+(5-K52)+(L52-1)+(5-M52))*2.5)</f>
      </c>
      <c r="AC52">
        <f>IF(N52="","",AVERAGE(N52:S52))</f>
      </c>
      <c r="AD52">
        <f>IF(T52="","",AVERAGE(T52:W52))</f>
      </c>
      <c r="AE52">
        <f>IF(X52="","",AVERAGE(X52:AA52))</f>
      </c>
      <c r="AF52" t="inlineStr">
        <is>
          <t/>
        </is>
      </c>
    </row>
    <row r="53">
      <c r="A53" t="inlineStr">
        <is>
          <t/>
        </is>
      </c>
      <c r="B53" t="inlineStr">
        <is>
          <t/>
        </is>
      </c>
      <c r="C53" t="inlineStr">
        <is>
          <t/>
        </is>
      </c>
      <c r="D53" t="inlineStr">
        <is>
          <t/>
        </is>
      </c>
      <c r="E53" t="inlineStr">
        <is>
          <t/>
        </is>
      </c>
      <c r="F53" t="inlineStr">
        <is>
          <t/>
        </is>
      </c>
      <c r="G53" t="inlineStr">
        <is>
          <t/>
        </is>
      </c>
      <c r="H53" t="inlineStr">
        <is>
          <t/>
        </is>
      </c>
      <c r="I53" t="inlineStr">
        <is>
          <t/>
        </is>
      </c>
      <c r="J53" t="inlineStr">
        <is>
          <t/>
        </is>
      </c>
      <c r="K53" t="inlineStr">
        <is>
          <t/>
        </is>
      </c>
      <c r="L53" t="inlineStr">
        <is>
          <t/>
        </is>
      </c>
      <c r="M53" t="inlineStr">
        <is>
          <t/>
        </is>
      </c>
      <c r="N53" t="inlineStr">
        <is>
          <t/>
        </is>
      </c>
      <c r="O53" t="inlineStr">
        <is>
          <t/>
        </is>
      </c>
      <c r="P53" t="inlineStr">
        <is>
          <t/>
        </is>
      </c>
      <c r="Q53" t="inlineStr">
        <is>
          <t/>
        </is>
      </c>
      <c r="R53" t="inlineStr">
        <is>
          <t/>
        </is>
      </c>
      <c r="S53" t="inlineStr">
        <is>
          <t/>
        </is>
      </c>
      <c r="T53" t="inlineStr">
        <is>
          <t/>
        </is>
      </c>
      <c r="U53" t="inlineStr">
        <is>
          <t/>
        </is>
      </c>
      <c r="V53" t="inlineStr">
        <is>
          <t/>
        </is>
      </c>
      <c r="W53" t="inlineStr">
        <is>
          <t/>
        </is>
      </c>
      <c r="X53" t="inlineStr">
        <is>
          <t/>
        </is>
      </c>
      <c r="Y53" t="inlineStr">
        <is>
          <t/>
        </is>
      </c>
      <c r="Z53" t="inlineStr">
        <is>
          <t/>
        </is>
      </c>
      <c r="AA53" t="inlineStr">
        <is>
          <t/>
        </is>
      </c>
      <c r="AB53">
        <f>IF(D53="","",((D53-1)+(5-E53)+(F53-1)+(5-G53)+(H53-1)+(5-I53)+(J53-1)+(5-K53)+(L53-1)+(5-M53))*2.5)</f>
      </c>
      <c r="AC53">
        <f>IF(N53="","",AVERAGE(N53:S53))</f>
      </c>
      <c r="AD53">
        <f>IF(T53="","",AVERAGE(T53:W53))</f>
      </c>
      <c r="AE53">
        <f>IF(X53="","",AVERAGE(X53:AA53))</f>
      </c>
      <c r="AF53" t="inlineStr">
        <is>
          <t/>
        </is>
      </c>
    </row>
    <row r="54">
      <c r="A54" t="inlineStr">
        <is>
          <t/>
        </is>
      </c>
      <c r="B54" t="inlineStr">
        <is>
          <t/>
        </is>
      </c>
      <c r="C54" t="inlineStr">
        <is>
          <t/>
        </is>
      </c>
      <c r="D54" t="inlineStr">
        <is>
          <t/>
        </is>
      </c>
      <c r="E54" t="inlineStr">
        <is>
          <t/>
        </is>
      </c>
      <c r="F54" t="inlineStr">
        <is>
          <t/>
        </is>
      </c>
      <c r="G54" t="inlineStr">
        <is>
          <t/>
        </is>
      </c>
      <c r="H54" t="inlineStr">
        <is>
          <t/>
        </is>
      </c>
      <c r="I54" t="inlineStr">
        <is>
          <t/>
        </is>
      </c>
      <c r="J54" t="inlineStr">
        <is>
          <t/>
        </is>
      </c>
      <c r="K54" t="inlineStr">
        <is>
          <t/>
        </is>
      </c>
      <c r="L54" t="inlineStr">
        <is>
          <t/>
        </is>
      </c>
      <c r="M54" t="inlineStr">
        <is>
          <t/>
        </is>
      </c>
      <c r="N54" t="inlineStr">
        <is>
          <t/>
        </is>
      </c>
      <c r="O54" t="inlineStr">
        <is>
          <t/>
        </is>
      </c>
      <c r="P54" t="inlineStr">
        <is>
          <t/>
        </is>
      </c>
      <c r="Q54" t="inlineStr">
        <is>
          <t/>
        </is>
      </c>
      <c r="R54" t="inlineStr">
        <is>
          <t/>
        </is>
      </c>
      <c r="S54" t="inlineStr">
        <is>
          <t/>
        </is>
      </c>
      <c r="T54" t="inlineStr">
        <is>
          <t/>
        </is>
      </c>
      <c r="U54" t="inlineStr">
        <is>
          <t/>
        </is>
      </c>
      <c r="V54" t="inlineStr">
        <is>
          <t/>
        </is>
      </c>
      <c r="W54" t="inlineStr">
        <is>
          <t/>
        </is>
      </c>
      <c r="X54" t="inlineStr">
        <is>
          <t/>
        </is>
      </c>
      <c r="Y54" t="inlineStr">
        <is>
          <t/>
        </is>
      </c>
      <c r="Z54" t="inlineStr">
        <is>
          <t/>
        </is>
      </c>
      <c r="AA54" t="inlineStr">
        <is>
          <t/>
        </is>
      </c>
      <c r="AB54">
        <f>IF(D54="","",((D54-1)+(5-E54)+(F54-1)+(5-G54)+(H54-1)+(5-I54)+(J54-1)+(5-K54)+(L54-1)+(5-M54))*2.5)</f>
      </c>
      <c r="AC54">
        <f>IF(N54="","",AVERAGE(N54:S54))</f>
      </c>
      <c r="AD54">
        <f>IF(T54="","",AVERAGE(T54:W54))</f>
      </c>
      <c r="AE54">
        <f>IF(X54="","",AVERAGE(X54:AA54))</f>
      </c>
      <c r="AF54" t="inlineStr">
        <is>
          <t/>
        </is>
      </c>
    </row>
    <row r="55">
      <c r="A55" t="inlineStr">
        <is>
          <t/>
        </is>
      </c>
      <c r="B55" t="inlineStr">
        <is>
          <t/>
        </is>
      </c>
      <c r="C55" t="inlineStr">
        <is>
          <t/>
        </is>
      </c>
      <c r="D55" t="inlineStr">
        <is>
          <t/>
        </is>
      </c>
      <c r="E55" t="inlineStr">
        <is>
          <t/>
        </is>
      </c>
      <c r="F55" t="inlineStr">
        <is>
          <t/>
        </is>
      </c>
      <c r="G55" t="inlineStr">
        <is>
          <t/>
        </is>
      </c>
      <c r="H55" t="inlineStr">
        <is>
          <t/>
        </is>
      </c>
      <c r="I55" t="inlineStr">
        <is>
          <t/>
        </is>
      </c>
      <c r="J55" t="inlineStr">
        <is>
          <t/>
        </is>
      </c>
      <c r="K55" t="inlineStr">
        <is>
          <t/>
        </is>
      </c>
      <c r="L55" t="inlineStr">
        <is>
          <t/>
        </is>
      </c>
      <c r="M55" t="inlineStr">
        <is>
          <t/>
        </is>
      </c>
      <c r="N55" t="inlineStr">
        <is>
          <t/>
        </is>
      </c>
      <c r="O55" t="inlineStr">
        <is>
          <t/>
        </is>
      </c>
      <c r="P55" t="inlineStr">
        <is>
          <t/>
        </is>
      </c>
      <c r="Q55" t="inlineStr">
        <is>
          <t/>
        </is>
      </c>
      <c r="R55" t="inlineStr">
        <is>
          <t/>
        </is>
      </c>
      <c r="S55" t="inlineStr">
        <is>
          <t/>
        </is>
      </c>
      <c r="T55" t="inlineStr">
        <is>
          <t/>
        </is>
      </c>
      <c r="U55" t="inlineStr">
        <is>
          <t/>
        </is>
      </c>
      <c r="V55" t="inlineStr">
        <is>
          <t/>
        </is>
      </c>
      <c r="W55" t="inlineStr">
        <is>
          <t/>
        </is>
      </c>
      <c r="X55" t="inlineStr">
        <is>
          <t/>
        </is>
      </c>
      <c r="Y55" t="inlineStr">
        <is>
          <t/>
        </is>
      </c>
      <c r="Z55" t="inlineStr">
        <is>
          <t/>
        </is>
      </c>
      <c r="AA55" t="inlineStr">
        <is>
          <t/>
        </is>
      </c>
      <c r="AB55">
        <f>IF(D55="","",((D55-1)+(5-E55)+(F55-1)+(5-G55)+(H55-1)+(5-I55)+(J55-1)+(5-K55)+(L55-1)+(5-M55))*2.5)</f>
      </c>
      <c r="AC55">
        <f>IF(N55="","",AVERAGE(N55:S55))</f>
      </c>
      <c r="AD55">
        <f>IF(T55="","",AVERAGE(T55:W55))</f>
      </c>
      <c r="AE55">
        <f>IF(X55="","",AVERAGE(X55:AA55))</f>
      </c>
      <c r="AF55" t="inlineStr">
        <is>
          <t/>
        </is>
      </c>
    </row>
    <row r="56">
      <c r="A56" t="inlineStr">
        <is>
          <t/>
        </is>
      </c>
      <c r="B56" t="inlineStr">
        <is>
          <t/>
        </is>
      </c>
      <c r="C56" t="inlineStr">
        <is>
          <t/>
        </is>
      </c>
      <c r="D56" t="inlineStr">
        <is>
          <t/>
        </is>
      </c>
      <c r="E56" t="inlineStr">
        <is>
          <t/>
        </is>
      </c>
      <c r="F56" t="inlineStr">
        <is>
          <t/>
        </is>
      </c>
      <c r="G56" t="inlineStr">
        <is>
          <t/>
        </is>
      </c>
      <c r="H56" t="inlineStr">
        <is>
          <t/>
        </is>
      </c>
      <c r="I56" t="inlineStr">
        <is>
          <t/>
        </is>
      </c>
      <c r="J56" t="inlineStr">
        <is>
          <t/>
        </is>
      </c>
      <c r="K56" t="inlineStr">
        <is>
          <t/>
        </is>
      </c>
      <c r="L56" t="inlineStr">
        <is>
          <t/>
        </is>
      </c>
      <c r="M56" t="inlineStr">
        <is>
          <t/>
        </is>
      </c>
      <c r="N56" t="inlineStr">
        <is>
          <t/>
        </is>
      </c>
      <c r="O56" t="inlineStr">
        <is>
          <t/>
        </is>
      </c>
      <c r="P56" t="inlineStr">
        <is>
          <t/>
        </is>
      </c>
      <c r="Q56" t="inlineStr">
        <is>
          <t/>
        </is>
      </c>
      <c r="R56" t="inlineStr">
        <is>
          <t/>
        </is>
      </c>
      <c r="S56" t="inlineStr">
        <is>
          <t/>
        </is>
      </c>
      <c r="T56" t="inlineStr">
        <is>
          <t/>
        </is>
      </c>
      <c r="U56" t="inlineStr">
        <is>
          <t/>
        </is>
      </c>
      <c r="V56" t="inlineStr">
        <is>
          <t/>
        </is>
      </c>
      <c r="W56" t="inlineStr">
        <is>
          <t/>
        </is>
      </c>
      <c r="X56" t="inlineStr">
        <is>
          <t/>
        </is>
      </c>
      <c r="Y56" t="inlineStr">
        <is>
          <t/>
        </is>
      </c>
      <c r="Z56" t="inlineStr">
        <is>
          <t/>
        </is>
      </c>
      <c r="AA56" t="inlineStr">
        <is>
          <t/>
        </is>
      </c>
      <c r="AB56">
        <f>IF(D56="","",((D56-1)+(5-E56)+(F56-1)+(5-G56)+(H56-1)+(5-I56)+(J56-1)+(5-K56)+(L56-1)+(5-M56))*2.5)</f>
      </c>
      <c r="AC56">
        <f>IF(N56="","",AVERAGE(N56:S56))</f>
      </c>
      <c r="AD56">
        <f>IF(T56="","",AVERAGE(T56:W56))</f>
      </c>
      <c r="AE56">
        <f>IF(X56="","",AVERAGE(X56:AA56))</f>
      </c>
      <c r="AF56" t="inlineStr">
        <is>
          <t/>
        </is>
      </c>
    </row>
    <row r="57">
      <c r="A57" t="inlineStr">
        <is>
          <t/>
        </is>
      </c>
      <c r="B57" t="inlineStr">
        <is>
          <t/>
        </is>
      </c>
      <c r="C57" t="inlineStr">
        <is>
          <t/>
        </is>
      </c>
      <c r="D57" t="inlineStr">
        <is>
          <t/>
        </is>
      </c>
      <c r="E57" t="inlineStr">
        <is>
          <t/>
        </is>
      </c>
      <c r="F57" t="inlineStr">
        <is>
          <t/>
        </is>
      </c>
      <c r="G57" t="inlineStr">
        <is>
          <t/>
        </is>
      </c>
      <c r="H57" t="inlineStr">
        <is>
          <t/>
        </is>
      </c>
      <c r="I57" t="inlineStr">
        <is>
          <t/>
        </is>
      </c>
      <c r="J57" t="inlineStr">
        <is>
          <t/>
        </is>
      </c>
      <c r="K57" t="inlineStr">
        <is>
          <t/>
        </is>
      </c>
      <c r="L57" t="inlineStr">
        <is>
          <t/>
        </is>
      </c>
      <c r="M57" t="inlineStr">
        <is>
          <t/>
        </is>
      </c>
      <c r="N57" t="inlineStr">
        <is>
          <t/>
        </is>
      </c>
      <c r="O57" t="inlineStr">
        <is>
          <t/>
        </is>
      </c>
      <c r="P57" t="inlineStr">
        <is>
          <t/>
        </is>
      </c>
      <c r="Q57" t="inlineStr">
        <is>
          <t/>
        </is>
      </c>
      <c r="R57" t="inlineStr">
        <is>
          <t/>
        </is>
      </c>
      <c r="S57" t="inlineStr">
        <is>
          <t/>
        </is>
      </c>
      <c r="T57" t="inlineStr">
        <is>
          <t/>
        </is>
      </c>
      <c r="U57" t="inlineStr">
        <is>
          <t/>
        </is>
      </c>
      <c r="V57" t="inlineStr">
        <is>
          <t/>
        </is>
      </c>
      <c r="W57" t="inlineStr">
        <is>
          <t/>
        </is>
      </c>
      <c r="X57" t="inlineStr">
        <is>
          <t/>
        </is>
      </c>
      <c r="Y57" t="inlineStr">
        <is>
          <t/>
        </is>
      </c>
      <c r="Z57" t="inlineStr">
        <is>
          <t/>
        </is>
      </c>
      <c r="AA57" t="inlineStr">
        <is>
          <t/>
        </is>
      </c>
      <c r="AB57">
        <f>IF(D57="","",((D57-1)+(5-E57)+(F57-1)+(5-G57)+(H57-1)+(5-I57)+(J57-1)+(5-K57)+(L57-1)+(5-M57))*2.5)</f>
      </c>
      <c r="AC57">
        <f>IF(N57="","",AVERAGE(N57:S57))</f>
      </c>
      <c r="AD57">
        <f>IF(T57="","",AVERAGE(T57:W57))</f>
      </c>
      <c r="AE57">
        <f>IF(X57="","",AVERAGE(X57:AA57))</f>
      </c>
      <c r="AF57" t="inlineStr">
        <is>
          <t/>
        </is>
      </c>
    </row>
    <row r="58">
      <c r="A58" t="inlineStr">
        <is>
          <t/>
        </is>
      </c>
      <c r="B58" t="inlineStr">
        <is>
          <t/>
        </is>
      </c>
      <c r="C58" t="inlineStr">
        <is>
          <t/>
        </is>
      </c>
      <c r="D58" t="inlineStr">
        <is>
          <t/>
        </is>
      </c>
      <c r="E58" t="inlineStr">
        <is>
          <t/>
        </is>
      </c>
      <c r="F58" t="inlineStr">
        <is>
          <t/>
        </is>
      </c>
      <c r="G58" t="inlineStr">
        <is>
          <t/>
        </is>
      </c>
      <c r="H58" t="inlineStr">
        <is>
          <t/>
        </is>
      </c>
      <c r="I58" t="inlineStr">
        <is>
          <t/>
        </is>
      </c>
      <c r="J58" t="inlineStr">
        <is>
          <t/>
        </is>
      </c>
      <c r="K58" t="inlineStr">
        <is>
          <t/>
        </is>
      </c>
      <c r="L58" t="inlineStr">
        <is>
          <t/>
        </is>
      </c>
      <c r="M58" t="inlineStr">
        <is>
          <t/>
        </is>
      </c>
      <c r="N58" t="inlineStr">
        <is>
          <t/>
        </is>
      </c>
      <c r="O58" t="inlineStr">
        <is>
          <t/>
        </is>
      </c>
      <c r="P58" t="inlineStr">
        <is>
          <t/>
        </is>
      </c>
      <c r="Q58" t="inlineStr">
        <is>
          <t/>
        </is>
      </c>
      <c r="R58" t="inlineStr">
        <is>
          <t/>
        </is>
      </c>
      <c r="S58" t="inlineStr">
        <is>
          <t/>
        </is>
      </c>
      <c r="T58" t="inlineStr">
        <is>
          <t/>
        </is>
      </c>
      <c r="U58" t="inlineStr">
        <is>
          <t/>
        </is>
      </c>
      <c r="V58" t="inlineStr">
        <is>
          <t/>
        </is>
      </c>
      <c r="W58" t="inlineStr">
        <is>
          <t/>
        </is>
      </c>
      <c r="X58" t="inlineStr">
        <is>
          <t/>
        </is>
      </c>
      <c r="Y58" t="inlineStr">
        <is>
          <t/>
        </is>
      </c>
      <c r="Z58" t="inlineStr">
        <is>
          <t/>
        </is>
      </c>
      <c r="AA58" t="inlineStr">
        <is>
          <t/>
        </is>
      </c>
      <c r="AB58">
        <f>IF(D58="","",((D58-1)+(5-E58)+(F58-1)+(5-G58)+(H58-1)+(5-I58)+(J58-1)+(5-K58)+(L58-1)+(5-M58))*2.5)</f>
      </c>
      <c r="AC58">
        <f>IF(N58="","",AVERAGE(N58:S58))</f>
      </c>
      <c r="AD58">
        <f>IF(T58="","",AVERAGE(T58:W58))</f>
      </c>
      <c r="AE58">
        <f>IF(X58="","",AVERAGE(X58:AA58))</f>
      </c>
      <c r="AF58" t="inlineStr">
        <is>
          <t/>
        </is>
      </c>
    </row>
    <row r="59">
      <c r="A59" t="inlineStr">
        <is>
          <t/>
        </is>
      </c>
      <c r="B59" t="inlineStr">
        <is>
          <t/>
        </is>
      </c>
      <c r="C59" t="inlineStr">
        <is>
          <t/>
        </is>
      </c>
      <c r="D59" t="inlineStr">
        <is>
          <t/>
        </is>
      </c>
      <c r="E59" t="inlineStr">
        <is>
          <t/>
        </is>
      </c>
      <c r="F59" t="inlineStr">
        <is>
          <t/>
        </is>
      </c>
      <c r="G59" t="inlineStr">
        <is>
          <t/>
        </is>
      </c>
      <c r="H59" t="inlineStr">
        <is>
          <t/>
        </is>
      </c>
      <c r="I59" t="inlineStr">
        <is>
          <t/>
        </is>
      </c>
      <c r="J59" t="inlineStr">
        <is>
          <t/>
        </is>
      </c>
      <c r="K59" t="inlineStr">
        <is>
          <t/>
        </is>
      </c>
      <c r="L59" t="inlineStr">
        <is>
          <t/>
        </is>
      </c>
      <c r="M59" t="inlineStr">
        <is>
          <t/>
        </is>
      </c>
      <c r="N59" t="inlineStr">
        <is>
          <t/>
        </is>
      </c>
      <c r="O59" t="inlineStr">
        <is>
          <t/>
        </is>
      </c>
      <c r="P59" t="inlineStr">
        <is>
          <t/>
        </is>
      </c>
      <c r="Q59" t="inlineStr">
        <is>
          <t/>
        </is>
      </c>
      <c r="R59" t="inlineStr">
        <is>
          <t/>
        </is>
      </c>
      <c r="S59" t="inlineStr">
        <is>
          <t/>
        </is>
      </c>
      <c r="T59" t="inlineStr">
        <is>
          <t/>
        </is>
      </c>
      <c r="U59" t="inlineStr">
        <is>
          <t/>
        </is>
      </c>
      <c r="V59" t="inlineStr">
        <is>
          <t/>
        </is>
      </c>
      <c r="W59" t="inlineStr">
        <is>
          <t/>
        </is>
      </c>
      <c r="X59" t="inlineStr">
        <is>
          <t/>
        </is>
      </c>
      <c r="Y59" t="inlineStr">
        <is>
          <t/>
        </is>
      </c>
      <c r="Z59" t="inlineStr">
        <is>
          <t/>
        </is>
      </c>
      <c r="AA59" t="inlineStr">
        <is>
          <t/>
        </is>
      </c>
      <c r="AB59">
        <f>IF(D59="","",((D59-1)+(5-E59)+(F59-1)+(5-G59)+(H59-1)+(5-I59)+(J59-1)+(5-K59)+(L59-1)+(5-M59))*2.5)</f>
      </c>
      <c r="AC59">
        <f>IF(N59="","",AVERAGE(N59:S59))</f>
      </c>
      <c r="AD59">
        <f>IF(T59="","",AVERAGE(T59:W59))</f>
      </c>
      <c r="AE59">
        <f>IF(X59="","",AVERAGE(X59:AA59))</f>
      </c>
      <c r="AF59" t="inlineStr">
        <is>
          <t/>
        </is>
      </c>
    </row>
    <row r="60">
      <c r="A60" t="inlineStr">
        <is>
          <t/>
        </is>
      </c>
      <c r="B60" t="inlineStr">
        <is>
          <t/>
        </is>
      </c>
      <c r="C60" t="inlineStr">
        <is>
          <t/>
        </is>
      </c>
      <c r="D60" t="inlineStr">
        <is>
          <t/>
        </is>
      </c>
      <c r="E60" t="inlineStr">
        <is>
          <t/>
        </is>
      </c>
      <c r="F60" t="inlineStr">
        <is>
          <t/>
        </is>
      </c>
      <c r="G60" t="inlineStr">
        <is>
          <t/>
        </is>
      </c>
      <c r="H60" t="inlineStr">
        <is>
          <t/>
        </is>
      </c>
      <c r="I60" t="inlineStr">
        <is>
          <t/>
        </is>
      </c>
      <c r="J60" t="inlineStr">
        <is>
          <t/>
        </is>
      </c>
      <c r="K60" t="inlineStr">
        <is>
          <t/>
        </is>
      </c>
      <c r="L60" t="inlineStr">
        <is>
          <t/>
        </is>
      </c>
      <c r="M60" t="inlineStr">
        <is>
          <t/>
        </is>
      </c>
      <c r="N60" t="inlineStr">
        <is>
          <t/>
        </is>
      </c>
      <c r="O60" t="inlineStr">
        <is>
          <t/>
        </is>
      </c>
      <c r="P60" t="inlineStr">
        <is>
          <t/>
        </is>
      </c>
      <c r="Q60" t="inlineStr">
        <is>
          <t/>
        </is>
      </c>
      <c r="R60" t="inlineStr">
        <is>
          <t/>
        </is>
      </c>
      <c r="S60" t="inlineStr">
        <is>
          <t/>
        </is>
      </c>
      <c r="T60" t="inlineStr">
        <is>
          <t/>
        </is>
      </c>
      <c r="U60" t="inlineStr">
        <is>
          <t/>
        </is>
      </c>
      <c r="V60" t="inlineStr">
        <is>
          <t/>
        </is>
      </c>
      <c r="W60" t="inlineStr">
        <is>
          <t/>
        </is>
      </c>
      <c r="X60" t="inlineStr">
        <is>
          <t/>
        </is>
      </c>
      <c r="Y60" t="inlineStr">
        <is>
          <t/>
        </is>
      </c>
      <c r="Z60" t="inlineStr">
        <is>
          <t/>
        </is>
      </c>
      <c r="AA60" t="inlineStr">
        <is>
          <t/>
        </is>
      </c>
      <c r="AB60">
        <f>IF(D60="","",((D60-1)+(5-E60)+(F60-1)+(5-G60)+(H60-1)+(5-I60)+(J60-1)+(5-K60)+(L60-1)+(5-M60))*2.5)</f>
      </c>
      <c r="AC60">
        <f>IF(N60="","",AVERAGE(N60:S60))</f>
      </c>
      <c r="AD60">
        <f>IF(T60="","",AVERAGE(T60:W60))</f>
      </c>
      <c r="AE60">
        <f>IF(X60="","",AVERAGE(X60:AA60))</f>
      </c>
      <c r="AF60" t="inlineStr">
        <is>
          <t/>
        </is>
      </c>
    </row>
    <row r="61">
      <c r="A61" t="inlineStr">
        <is>
          <t/>
        </is>
      </c>
      <c r="B61" t="inlineStr">
        <is>
          <t/>
        </is>
      </c>
      <c r="C61" t="inlineStr">
        <is>
          <t/>
        </is>
      </c>
      <c r="D61" t="inlineStr">
        <is>
          <t/>
        </is>
      </c>
      <c r="E61" t="inlineStr">
        <is>
          <t/>
        </is>
      </c>
      <c r="F61" t="inlineStr">
        <is>
          <t/>
        </is>
      </c>
      <c r="G61" t="inlineStr">
        <is>
          <t/>
        </is>
      </c>
      <c r="H61" t="inlineStr">
        <is>
          <t/>
        </is>
      </c>
      <c r="I61" t="inlineStr">
        <is>
          <t/>
        </is>
      </c>
      <c r="J61" t="inlineStr">
        <is>
          <t/>
        </is>
      </c>
      <c r="K61" t="inlineStr">
        <is>
          <t/>
        </is>
      </c>
      <c r="L61" t="inlineStr">
        <is>
          <t/>
        </is>
      </c>
      <c r="M61" t="inlineStr">
        <is>
          <t/>
        </is>
      </c>
      <c r="N61" t="inlineStr">
        <is>
          <t/>
        </is>
      </c>
      <c r="O61" t="inlineStr">
        <is>
          <t/>
        </is>
      </c>
      <c r="P61" t="inlineStr">
        <is>
          <t/>
        </is>
      </c>
      <c r="Q61" t="inlineStr">
        <is>
          <t/>
        </is>
      </c>
      <c r="R61" t="inlineStr">
        <is>
          <t/>
        </is>
      </c>
      <c r="S61" t="inlineStr">
        <is>
          <t/>
        </is>
      </c>
      <c r="T61" t="inlineStr">
        <is>
          <t/>
        </is>
      </c>
      <c r="U61" t="inlineStr">
        <is>
          <t/>
        </is>
      </c>
      <c r="V61" t="inlineStr">
        <is>
          <t/>
        </is>
      </c>
      <c r="W61" t="inlineStr">
        <is>
          <t/>
        </is>
      </c>
      <c r="X61" t="inlineStr">
        <is>
          <t/>
        </is>
      </c>
      <c r="Y61" t="inlineStr">
        <is>
          <t/>
        </is>
      </c>
      <c r="Z61" t="inlineStr">
        <is>
          <t/>
        </is>
      </c>
      <c r="AA61" t="inlineStr">
        <is>
          <t/>
        </is>
      </c>
      <c r="AB61">
        <f>IF(D61="","",((D61-1)+(5-E61)+(F61-1)+(5-G61)+(H61-1)+(5-I61)+(J61-1)+(5-K61)+(L61-1)+(5-M61))*2.5)</f>
      </c>
      <c r="AC61">
        <f>IF(N61="","",AVERAGE(N61:S61))</f>
      </c>
      <c r="AD61">
        <f>IF(T61="","",AVERAGE(T61:W61))</f>
      </c>
      <c r="AE61">
        <f>IF(X61="","",AVERAGE(X61:AA61))</f>
      </c>
      <c r="AF61" t="inlineStr">
        <is>
          <t/>
        </is>
      </c>
    </row>
    <row r="62">
      <c r="A62" t="inlineStr">
        <is>
          <t/>
        </is>
      </c>
      <c r="B62" t="inlineStr">
        <is>
          <t/>
        </is>
      </c>
      <c r="C62" t="inlineStr">
        <is>
          <t/>
        </is>
      </c>
      <c r="D62" t="inlineStr">
        <is>
          <t/>
        </is>
      </c>
      <c r="E62" t="inlineStr">
        <is>
          <t/>
        </is>
      </c>
      <c r="F62" t="inlineStr">
        <is>
          <t/>
        </is>
      </c>
      <c r="G62" t="inlineStr">
        <is>
          <t/>
        </is>
      </c>
      <c r="H62" t="inlineStr">
        <is>
          <t/>
        </is>
      </c>
      <c r="I62" t="inlineStr">
        <is>
          <t/>
        </is>
      </c>
      <c r="J62" t="inlineStr">
        <is>
          <t/>
        </is>
      </c>
      <c r="K62" t="inlineStr">
        <is>
          <t/>
        </is>
      </c>
      <c r="L62" t="inlineStr">
        <is>
          <t/>
        </is>
      </c>
      <c r="M62" t="inlineStr">
        <is>
          <t/>
        </is>
      </c>
      <c r="N62" t="inlineStr">
        <is>
          <t/>
        </is>
      </c>
      <c r="O62" t="inlineStr">
        <is>
          <t/>
        </is>
      </c>
      <c r="P62" t="inlineStr">
        <is>
          <t/>
        </is>
      </c>
      <c r="Q62" t="inlineStr">
        <is>
          <t/>
        </is>
      </c>
      <c r="R62" t="inlineStr">
        <is>
          <t/>
        </is>
      </c>
      <c r="S62" t="inlineStr">
        <is>
          <t/>
        </is>
      </c>
      <c r="T62" t="inlineStr">
        <is>
          <t/>
        </is>
      </c>
      <c r="U62" t="inlineStr">
        <is>
          <t/>
        </is>
      </c>
      <c r="V62" t="inlineStr">
        <is>
          <t/>
        </is>
      </c>
      <c r="W62" t="inlineStr">
        <is>
          <t/>
        </is>
      </c>
      <c r="X62" t="inlineStr">
        <is>
          <t/>
        </is>
      </c>
      <c r="Y62" t="inlineStr">
        <is>
          <t/>
        </is>
      </c>
      <c r="Z62" t="inlineStr">
        <is>
          <t/>
        </is>
      </c>
      <c r="AA62" t="inlineStr">
        <is>
          <t/>
        </is>
      </c>
      <c r="AB62">
        <f>IF(D62="","",((D62-1)+(5-E62)+(F62-1)+(5-G62)+(H62-1)+(5-I62)+(J62-1)+(5-K62)+(L62-1)+(5-M62))*2.5)</f>
      </c>
      <c r="AC62">
        <f>IF(N62="","",AVERAGE(N62:S62))</f>
      </c>
      <c r="AD62">
        <f>IF(T62="","",AVERAGE(T62:W62))</f>
      </c>
      <c r="AE62">
        <f>IF(X62="","",AVERAGE(X62:AA62))</f>
      </c>
      <c r="AF62" t="inlineStr">
        <is>
          <t/>
        </is>
      </c>
    </row>
    <row r="63">
      <c r="A63" t="inlineStr">
        <is>
          <t/>
        </is>
      </c>
      <c r="B63" t="inlineStr">
        <is>
          <t/>
        </is>
      </c>
      <c r="C63" t="inlineStr">
        <is>
          <t/>
        </is>
      </c>
      <c r="D63" t="inlineStr">
        <is>
          <t/>
        </is>
      </c>
      <c r="E63" t="inlineStr">
        <is>
          <t/>
        </is>
      </c>
      <c r="F63" t="inlineStr">
        <is>
          <t/>
        </is>
      </c>
      <c r="G63" t="inlineStr">
        <is>
          <t/>
        </is>
      </c>
      <c r="H63" t="inlineStr">
        <is>
          <t/>
        </is>
      </c>
      <c r="I63" t="inlineStr">
        <is>
          <t/>
        </is>
      </c>
      <c r="J63" t="inlineStr">
        <is>
          <t/>
        </is>
      </c>
      <c r="K63" t="inlineStr">
        <is>
          <t/>
        </is>
      </c>
      <c r="L63" t="inlineStr">
        <is>
          <t/>
        </is>
      </c>
      <c r="M63" t="inlineStr">
        <is>
          <t/>
        </is>
      </c>
      <c r="N63" t="inlineStr">
        <is>
          <t/>
        </is>
      </c>
      <c r="O63" t="inlineStr">
        <is>
          <t/>
        </is>
      </c>
      <c r="P63" t="inlineStr">
        <is>
          <t/>
        </is>
      </c>
      <c r="Q63" t="inlineStr">
        <is>
          <t/>
        </is>
      </c>
      <c r="R63" t="inlineStr">
        <is>
          <t/>
        </is>
      </c>
      <c r="S63" t="inlineStr">
        <is>
          <t/>
        </is>
      </c>
      <c r="T63" t="inlineStr">
        <is>
          <t/>
        </is>
      </c>
      <c r="U63" t="inlineStr">
        <is>
          <t/>
        </is>
      </c>
      <c r="V63" t="inlineStr">
        <is>
          <t/>
        </is>
      </c>
      <c r="W63" t="inlineStr">
        <is>
          <t/>
        </is>
      </c>
      <c r="X63" t="inlineStr">
        <is>
          <t/>
        </is>
      </c>
      <c r="Y63" t="inlineStr">
        <is>
          <t/>
        </is>
      </c>
      <c r="Z63" t="inlineStr">
        <is>
          <t/>
        </is>
      </c>
      <c r="AA63" t="inlineStr">
        <is>
          <t/>
        </is>
      </c>
      <c r="AB63">
        <f>IF(D63="","",((D63-1)+(5-E63)+(F63-1)+(5-G63)+(H63-1)+(5-I63)+(J63-1)+(5-K63)+(L63-1)+(5-M63))*2.5)</f>
      </c>
      <c r="AC63">
        <f>IF(N63="","",AVERAGE(N63:S63))</f>
      </c>
      <c r="AD63">
        <f>IF(T63="","",AVERAGE(T63:W63))</f>
      </c>
      <c r="AE63">
        <f>IF(X63="","",AVERAGE(X63:AA63))</f>
      </c>
      <c r="AF63" t="inlineStr">
        <is>
          <t/>
        </is>
      </c>
    </row>
    <row r="64">
      <c r="A64" t="inlineStr">
        <is>
          <t/>
        </is>
      </c>
      <c r="B64" t="inlineStr">
        <is>
          <t/>
        </is>
      </c>
      <c r="C64" t="inlineStr">
        <is>
          <t/>
        </is>
      </c>
      <c r="D64" t="inlineStr">
        <is>
          <t/>
        </is>
      </c>
      <c r="E64" t="inlineStr">
        <is>
          <t/>
        </is>
      </c>
      <c r="F64" t="inlineStr">
        <is>
          <t/>
        </is>
      </c>
      <c r="G64" t="inlineStr">
        <is>
          <t/>
        </is>
      </c>
      <c r="H64" t="inlineStr">
        <is>
          <t/>
        </is>
      </c>
      <c r="I64" t="inlineStr">
        <is>
          <t/>
        </is>
      </c>
      <c r="J64" t="inlineStr">
        <is>
          <t/>
        </is>
      </c>
      <c r="K64" t="inlineStr">
        <is>
          <t/>
        </is>
      </c>
      <c r="L64" t="inlineStr">
        <is>
          <t/>
        </is>
      </c>
      <c r="M64" t="inlineStr">
        <is>
          <t/>
        </is>
      </c>
      <c r="N64" t="inlineStr">
        <is>
          <t/>
        </is>
      </c>
      <c r="O64" t="inlineStr">
        <is>
          <t/>
        </is>
      </c>
      <c r="P64" t="inlineStr">
        <is>
          <t/>
        </is>
      </c>
      <c r="Q64" t="inlineStr">
        <is>
          <t/>
        </is>
      </c>
      <c r="R64" t="inlineStr">
        <is>
          <t/>
        </is>
      </c>
      <c r="S64" t="inlineStr">
        <is>
          <t/>
        </is>
      </c>
      <c r="T64" t="inlineStr">
        <is>
          <t/>
        </is>
      </c>
      <c r="U64" t="inlineStr">
        <is>
          <t/>
        </is>
      </c>
      <c r="V64" t="inlineStr">
        <is>
          <t/>
        </is>
      </c>
      <c r="W64" t="inlineStr">
        <is>
          <t/>
        </is>
      </c>
      <c r="X64" t="inlineStr">
        <is>
          <t/>
        </is>
      </c>
      <c r="Y64" t="inlineStr">
        <is>
          <t/>
        </is>
      </c>
      <c r="Z64" t="inlineStr">
        <is>
          <t/>
        </is>
      </c>
      <c r="AA64" t="inlineStr">
        <is>
          <t/>
        </is>
      </c>
      <c r="AB64">
        <f>IF(D64="","",((D64-1)+(5-E64)+(F64-1)+(5-G64)+(H64-1)+(5-I64)+(J64-1)+(5-K64)+(L64-1)+(5-M64))*2.5)</f>
      </c>
      <c r="AC64">
        <f>IF(N64="","",AVERAGE(N64:S64))</f>
      </c>
      <c r="AD64">
        <f>IF(T64="","",AVERAGE(T64:W64))</f>
      </c>
      <c r="AE64">
        <f>IF(X64="","",AVERAGE(X64:AA64))</f>
      </c>
      <c r="AF64" t="inlineStr">
        <is>
          <t/>
        </is>
      </c>
    </row>
    <row r="65">
      <c r="A65" t="inlineStr">
        <is>
          <t/>
        </is>
      </c>
      <c r="B65" t="inlineStr">
        <is>
          <t/>
        </is>
      </c>
      <c r="C65" t="inlineStr">
        <is>
          <t/>
        </is>
      </c>
      <c r="D65" t="inlineStr">
        <is>
          <t/>
        </is>
      </c>
      <c r="E65" t="inlineStr">
        <is>
          <t/>
        </is>
      </c>
      <c r="F65" t="inlineStr">
        <is>
          <t/>
        </is>
      </c>
      <c r="G65" t="inlineStr">
        <is>
          <t/>
        </is>
      </c>
      <c r="H65" t="inlineStr">
        <is>
          <t/>
        </is>
      </c>
      <c r="I65" t="inlineStr">
        <is>
          <t/>
        </is>
      </c>
      <c r="J65" t="inlineStr">
        <is>
          <t/>
        </is>
      </c>
      <c r="K65" t="inlineStr">
        <is>
          <t/>
        </is>
      </c>
      <c r="L65" t="inlineStr">
        <is>
          <t/>
        </is>
      </c>
      <c r="M65" t="inlineStr">
        <is>
          <t/>
        </is>
      </c>
      <c r="N65" t="inlineStr">
        <is>
          <t/>
        </is>
      </c>
      <c r="O65" t="inlineStr">
        <is>
          <t/>
        </is>
      </c>
      <c r="P65" t="inlineStr">
        <is>
          <t/>
        </is>
      </c>
      <c r="Q65" t="inlineStr">
        <is>
          <t/>
        </is>
      </c>
      <c r="R65" t="inlineStr">
        <is>
          <t/>
        </is>
      </c>
      <c r="S65" t="inlineStr">
        <is>
          <t/>
        </is>
      </c>
      <c r="T65" t="inlineStr">
        <is>
          <t/>
        </is>
      </c>
      <c r="U65" t="inlineStr">
        <is>
          <t/>
        </is>
      </c>
      <c r="V65" t="inlineStr">
        <is>
          <t/>
        </is>
      </c>
      <c r="W65" t="inlineStr">
        <is>
          <t/>
        </is>
      </c>
      <c r="X65" t="inlineStr">
        <is>
          <t/>
        </is>
      </c>
      <c r="Y65" t="inlineStr">
        <is>
          <t/>
        </is>
      </c>
      <c r="Z65" t="inlineStr">
        <is>
          <t/>
        </is>
      </c>
      <c r="AA65" t="inlineStr">
        <is>
          <t/>
        </is>
      </c>
      <c r="AB65">
        <f>IF(D65="","",((D65-1)+(5-E65)+(F65-1)+(5-G65)+(H65-1)+(5-I65)+(J65-1)+(5-K65)+(L65-1)+(5-M65))*2.5)</f>
      </c>
      <c r="AC65">
        <f>IF(N65="","",AVERAGE(N65:S65))</f>
      </c>
      <c r="AD65">
        <f>IF(T65="","",AVERAGE(T65:W65))</f>
      </c>
      <c r="AE65">
        <f>IF(X65="","",AVERAGE(X65:AA65))</f>
      </c>
      <c r="AF65" t="inlineStr">
        <is>
          <t/>
        </is>
      </c>
    </row>
    <row r="66">
      <c r="A66" t="inlineStr">
        <is>
          <t/>
        </is>
      </c>
      <c r="B66" t="inlineStr">
        <is>
          <t/>
        </is>
      </c>
      <c r="C66" t="inlineStr">
        <is>
          <t/>
        </is>
      </c>
      <c r="D66" t="inlineStr">
        <is>
          <t/>
        </is>
      </c>
      <c r="E66" t="inlineStr">
        <is>
          <t/>
        </is>
      </c>
      <c r="F66" t="inlineStr">
        <is>
          <t/>
        </is>
      </c>
      <c r="G66" t="inlineStr">
        <is>
          <t/>
        </is>
      </c>
      <c r="H66" t="inlineStr">
        <is>
          <t/>
        </is>
      </c>
      <c r="I66" t="inlineStr">
        <is>
          <t/>
        </is>
      </c>
      <c r="J66" t="inlineStr">
        <is>
          <t/>
        </is>
      </c>
      <c r="K66" t="inlineStr">
        <is>
          <t/>
        </is>
      </c>
      <c r="L66" t="inlineStr">
        <is>
          <t/>
        </is>
      </c>
      <c r="M66" t="inlineStr">
        <is>
          <t/>
        </is>
      </c>
      <c r="N66" t="inlineStr">
        <is>
          <t/>
        </is>
      </c>
      <c r="O66" t="inlineStr">
        <is>
          <t/>
        </is>
      </c>
      <c r="P66" t="inlineStr">
        <is>
          <t/>
        </is>
      </c>
      <c r="Q66" t="inlineStr">
        <is>
          <t/>
        </is>
      </c>
      <c r="R66" t="inlineStr">
        <is>
          <t/>
        </is>
      </c>
      <c r="S66" t="inlineStr">
        <is>
          <t/>
        </is>
      </c>
      <c r="T66" t="inlineStr">
        <is>
          <t/>
        </is>
      </c>
      <c r="U66" t="inlineStr">
        <is>
          <t/>
        </is>
      </c>
      <c r="V66" t="inlineStr">
        <is>
          <t/>
        </is>
      </c>
      <c r="W66" t="inlineStr">
        <is>
          <t/>
        </is>
      </c>
      <c r="X66" t="inlineStr">
        <is>
          <t/>
        </is>
      </c>
      <c r="Y66" t="inlineStr">
        <is>
          <t/>
        </is>
      </c>
      <c r="Z66" t="inlineStr">
        <is>
          <t/>
        </is>
      </c>
      <c r="AA66" t="inlineStr">
        <is>
          <t/>
        </is>
      </c>
      <c r="AB66">
        <f>IF(D66="","",((D66-1)+(5-E66)+(F66-1)+(5-G66)+(H66-1)+(5-I66)+(J66-1)+(5-K66)+(L66-1)+(5-M66))*2.5)</f>
      </c>
      <c r="AC66">
        <f>IF(N66="","",AVERAGE(N66:S66))</f>
      </c>
      <c r="AD66">
        <f>IF(T66="","",AVERAGE(T66:W66))</f>
      </c>
      <c r="AE66">
        <f>IF(X66="","",AVERAGE(X66:AA66))</f>
      </c>
      <c r="AF66" t="inlineStr">
        <is>
          <t/>
        </is>
      </c>
    </row>
    <row r="67">
      <c r="A67" t="inlineStr">
        <is>
          <t/>
        </is>
      </c>
      <c r="B67" t="inlineStr">
        <is>
          <t/>
        </is>
      </c>
      <c r="C67" t="inlineStr">
        <is>
          <t/>
        </is>
      </c>
      <c r="D67" t="inlineStr">
        <is>
          <t/>
        </is>
      </c>
      <c r="E67" t="inlineStr">
        <is>
          <t/>
        </is>
      </c>
      <c r="F67" t="inlineStr">
        <is>
          <t/>
        </is>
      </c>
      <c r="G67" t="inlineStr">
        <is>
          <t/>
        </is>
      </c>
      <c r="H67" t="inlineStr">
        <is>
          <t/>
        </is>
      </c>
      <c r="I67" t="inlineStr">
        <is>
          <t/>
        </is>
      </c>
      <c r="J67" t="inlineStr">
        <is>
          <t/>
        </is>
      </c>
      <c r="K67" t="inlineStr">
        <is>
          <t/>
        </is>
      </c>
      <c r="L67" t="inlineStr">
        <is>
          <t/>
        </is>
      </c>
      <c r="M67" t="inlineStr">
        <is>
          <t/>
        </is>
      </c>
      <c r="N67" t="inlineStr">
        <is>
          <t/>
        </is>
      </c>
      <c r="O67" t="inlineStr">
        <is>
          <t/>
        </is>
      </c>
      <c r="P67" t="inlineStr">
        <is>
          <t/>
        </is>
      </c>
      <c r="Q67" t="inlineStr">
        <is>
          <t/>
        </is>
      </c>
      <c r="R67" t="inlineStr">
        <is>
          <t/>
        </is>
      </c>
      <c r="S67" t="inlineStr">
        <is>
          <t/>
        </is>
      </c>
      <c r="T67" t="inlineStr">
        <is>
          <t/>
        </is>
      </c>
      <c r="U67" t="inlineStr">
        <is>
          <t/>
        </is>
      </c>
      <c r="V67" t="inlineStr">
        <is>
          <t/>
        </is>
      </c>
      <c r="W67" t="inlineStr">
        <is>
          <t/>
        </is>
      </c>
      <c r="X67" t="inlineStr">
        <is>
          <t/>
        </is>
      </c>
      <c r="Y67" t="inlineStr">
        <is>
          <t/>
        </is>
      </c>
      <c r="Z67" t="inlineStr">
        <is>
          <t/>
        </is>
      </c>
      <c r="AA67" t="inlineStr">
        <is>
          <t/>
        </is>
      </c>
      <c r="AB67">
        <f>IF(D67="","",((D67-1)+(5-E67)+(F67-1)+(5-G67)+(H67-1)+(5-I67)+(J67-1)+(5-K67)+(L67-1)+(5-M67))*2.5)</f>
      </c>
      <c r="AC67">
        <f>IF(N67="","",AVERAGE(N67:S67))</f>
      </c>
      <c r="AD67">
        <f>IF(T67="","",AVERAGE(T67:W67))</f>
      </c>
      <c r="AE67">
        <f>IF(X67="","",AVERAGE(X67:AA67))</f>
      </c>
      <c r="AF67" t="inlineStr">
        <is>
          <t/>
        </is>
      </c>
    </row>
    <row r="68">
      <c r="A68" t="inlineStr">
        <is>
          <t/>
        </is>
      </c>
      <c r="B68" t="inlineStr">
        <is>
          <t/>
        </is>
      </c>
      <c r="C68" t="inlineStr">
        <is>
          <t/>
        </is>
      </c>
      <c r="D68" t="inlineStr">
        <is>
          <t/>
        </is>
      </c>
      <c r="E68" t="inlineStr">
        <is>
          <t/>
        </is>
      </c>
      <c r="F68" t="inlineStr">
        <is>
          <t/>
        </is>
      </c>
      <c r="G68" t="inlineStr">
        <is>
          <t/>
        </is>
      </c>
      <c r="H68" t="inlineStr">
        <is>
          <t/>
        </is>
      </c>
      <c r="I68" t="inlineStr">
        <is>
          <t/>
        </is>
      </c>
      <c r="J68" t="inlineStr">
        <is>
          <t/>
        </is>
      </c>
      <c r="K68" t="inlineStr">
        <is>
          <t/>
        </is>
      </c>
      <c r="L68" t="inlineStr">
        <is>
          <t/>
        </is>
      </c>
      <c r="M68" t="inlineStr">
        <is>
          <t/>
        </is>
      </c>
      <c r="N68" t="inlineStr">
        <is>
          <t/>
        </is>
      </c>
      <c r="O68" t="inlineStr">
        <is>
          <t/>
        </is>
      </c>
      <c r="P68" t="inlineStr">
        <is>
          <t/>
        </is>
      </c>
      <c r="Q68" t="inlineStr">
        <is>
          <t/>
        </is>
      </c>
      <c r="R68" t="inlineStr">
        <is>
          <t/>
        </is>
      </c>
      <c r="S68" t="inlineStr">
        <is>
          <t/>
        </is>
      </c>
      <c r="T68" t="inlineStr">
        <is>
          <t/>
        </is>
      </c>
      <c r="U68" t="inlineStr">
        <is>
          <t/>
        </is>
      </c>
      <c r="V68" t="inlineStr">
        <is>
          <t/>
        </is>
      </c>
      <c r="W68" t="inlineStr">
        <is>
          <t/>
        </is>
      </c>
      <c r="X68" t="inlineStr">
        <is>
          <t/>
        </is>
      </c>
      <c r="Y68" t="inlineStr">
        <is>
          <t/>
        </is>
      </c>
      <c r="Z68" t="inlineStr">
        <is>
          <t/>
        </is>
      </c>
      <c r="AA68" t="inlineStr">
        <is>
          <t/>
        </is>
      </c>
      <c r="AB68">
        <f>IF(D68="","",((D68-1)+(5-E68)+(F68-1)+(5-G68)+(H68-1)+(5-I68)+(J68-1)+(5-K68)+(L68-1)+(5-M68))*2.5)</f>
      </c>
      <c r="AC68">
        <f>IF(N68="","",AVERAGE(N68:S68))</f>
      </c>
      <c r="AD68">
        <f>IF(T68="","",AVERAGE(T68:W68))</f>
      </c>
      <c r="AE68">
        <f>IF(X68="","",AVERAGE(X68:AA68))</f>
      </c>
      <c r="AF68" t="inlineStr">
        <is>
          <t/>
        </is>
      </c>
    </row>
    <row r="69">
      <c r="A69" t="inlineStr">
        <is>
          <t/>
        </is>
      </c>
      <c r="B69" t="inlineStr">
        <is>
          <t/>
        </is>
      </c>
      <c r="C69" t="inlineStr">
        <is>
          <t/>
        </is>
      </c>
      <c r="D69" t="inlineStr">
        <is>
          <t/>
        </is>
      </c>
      <c r="E69" t="inlineStr">
        <is>
          <t/>
        </is>
      </c>
      <c r="F69" t="inlineStr">
        <is>
          <t/>
        </is>
      </c>
      <c r="G69" t="inlineStr">
        <is>
          <t/>
        </is>
      </c>
      <c r="H69" t="inlineStr">
        <is>
          <t/>
        </is>
      </c>
      <c r="I69" t="inlineStr">
        <is>
          <t/>
        </is>
      </c>
      <c r="J69" t="inlineStr">
        <is>
          <t/>
        </is>
      </c>
      <c r="K69" t="inlineStr">
        <is>
          <t/>
        </is>
      </c>
      <c r="L69" t="inlineStr">
        <is>
          <t/>
        </is>
      </c>
      <c r="M69" t="inlineStr">
        <is>
          <t/>
        </is>
      </c>
      <c r="N69" t="inlineStr">
        <is>
          <t/>
        </is>
      </c>
      <c r="O69" t="inlineStr">
        <is>
          <t/>
        </is>
      </c>
      <c r="P69" t="inlineStr">
        <is>
          <t/>
        </is>
      </c>
      <c r="Q69" t="inlineStr">
        <is>
          <t/>
        </is>
      </c>
      <c r="R69" t="inlineStr">
        <is>
          <t/>
        </is>
      </c>
      <c r="S69" t="inlineStr">
        <is>
          <t/>
        </is>
      </c>
      <c r="T69" t="inlineStr">
        <is>
          <t/>
        </is>
      </c>
      <c r="U69" t="inlineStr">
        <is>
          <t/>
        </is>
      </c>
      <c r="V69" t="inlineStr">
        <is>
          <t/>
        </is>
      </c>
      <c r="W69" t="inlineStr">
        <is>
          <t/>
        </is>
      </c>
      <c r="X69" t="inlineStr">
        <is>
          <t/>
        </is>
      </c>
      <c r="Y69" t="inlineStr">
        <is>
          <t/>
        </is>
      </c>
      <c r="Z69" t="inlineStr">
        <is>
          <t/>
        </is>
      </c>
      <c r="AA69" t="inlineStr">
        <is>
          <t/>
        </is>
      </c>
      <c r="AB69">
        <f>IF(D69="","",((D69-1)+(5-E69)+(F69-1)+(5-G69)+(H69-1)+(5-I69)+(J69-1)+(5-K69)+(L69-1)+(5-M69))*2.5)</f>
      </c>
      <c r="AC69">
        <f>IF(N69="","",AVERAGE(N69:S69))</f>
      </c>
      <c r="AD69">
        <f>IF(T69="","",AVERAGE(T69:W69))</f>
      </c>
      <c r="AE69">
        <f>IF(X69="","",AVERAGE(X69:AA69))</f>
      </c>
      <c r="AF69" t="inlineStr">
        <is>
          <t/>
        </is>
      </c>
    </row>
    <row r="70">
      <c r="A70" t="inlineStr">
        <is>
          <t/>
        </is>
      </c>
      <c r="B70" t="inlineStr">
        <is>
          <t/>
        </is>
      </c>
      <c r="C70" t="inlineStr">
        <is>
          <t/>
        </is>
      </c>
      <c r="D70" t="inlineStr">
        <is>
          <t/>
        </is>
      </c>
      <c r="E70" t="inlineStr">
        <is>
          <t/>
        </is>
      </c>
      <c r="F70" t="inlineStr">
        <is>
          <t/>
        </is>
      </c>
      <c r="G70" t="inlineStr">
        <is>
          <t/>
        </is>
      </c>
      <c r="H70" t="inlineStr">
        <is>
          <t/>
        </is>
      </c>
      <c r="I70" t="inlineStr">
        <is>
          <t/>
        </is>
      </c>
      <c r="J70" t="inlineStr">
        <is>
          <t/>
        </is>
      </c>
      <c r="K70" t="inlineStr">
        <is>
          <t/>
        </is>
      </c>
      <c r="L70" t="inlineStr">
        <is>
          <t/>
        </is>
      </c>
      <c r="M70" t="inlineStr">
        <is>
          <t/>
        </is>
      </c>
      <c r="N70" t="inlineStr">
        <is>
          <t/>
        </is>
      </c>
      <c r="O70" t="inlineStr">
        <is>
          <t/>
        </is>
      </c>
      <c r="P70" t="inlineStr">
        <is>
          <t/>
        </is>
      </c>
      <c r="Q70" t="inlineStr">
        <is>
          <t/>
        </is>
      </c>
      <c r="R70" t="inlineStr">
        <is>
          <t/>
        </is>
      </c>
      <c r="S70" t="inlineStr">
        <is>
          <t/>
        </is>
      </c>
      <c r="T70" t="inlineStr">
        <is>
          <t/>
        </is>
      </c>
      <c r="U70" t="inlineStr">
        <is>
          <t/>
        </is>
      </c>
      <c r="V70" t="inlineStr">
        <is>
          <t/>
        </is>
      </c>
      <c r="W70" t="inlineStr">
        <is>
          <t/>
        </is>
      </c>
      <c r="X70" t="inlineStr">
        <is>
          <t/>
        </is>
      </c>
      <c r="Y70" t="inlineStr">
        <is>
          <t/>
        </is>
      </c>
      <c r="Z70" t="inlineStr">
        <is>
          <t/>
        </is>
      </c>
      <c r="AA70" t="inlineStr">
        <is>
          <t/>
        </is>
      </c>
      <c r="AB70">
        <f>IF(D70="","",((D70-1)+(5-E70)+(F70-1)+(5-G70)+(H70-1)+(5-I70)+(J70-1)+(5-K70)+(L70-1)+(5-M70))*2.5)</f>
      </c>
      <c r="AC70">
        <f>IF(N70="","",AVERAGE(N70:S70))</f>
      </c>
      <c r="AD70">
        <f>IF(T70="","",AVERAGE(T70:W70))</f>
      </c>
      <c r="AE70">
        <f>IF(X70="","",AVERAGE(X70:AA70))</f>
      </c>
      <c r="AF70" t="inlineStr">
        <is>
          <t/>
        </is>
      </c>
    </row>
    <row r="71">
      <c r="A71" t="inlineStr">
        <is>
          <t/>
        </is>
      </c>
      <c r="B71" t="inlineStr">
        <is>
          <t/>
        </is>
      </c>
      <c r="C71" t="inlineStr">
        <is>
          <t/>
        </is>
      </c>
      <c r="D71" t="inlineStr">
        <is>
          <t/>
        </is>
      </c>
      <c r="E71" t="inlineStr">
        <is>
          <t/>
        </is>
      </c>
      <c r="F71" t="inlineStr">
        <is>
          <t/>
        </is>
      </c>
      <c r="G71" t="inlineStr">
        <is>
          <t/>
        </is>
      </c>
      <c r="H71" t="inlineStr">
        <is>
          <t/>
        </is>
      </c>
      <c r="I71" t="inlineStr">
        <is>
          <t/>
        </is>
      </c>
      <c r="J71" t="inlineStr">
        <is>
          <t/>
        </is>
      </c>
      <c r="K71" t="inlineStr">
        <is>
          <t/>
        </is>
      </c>
      <c r="L71" t="inlineStr">
        <is>
          <t/>
        </is>
      </c>
      <c r="M71" t="inlineStr">
        <is>
          <t/>
        </is>
      </c>
      <c r="N71" t="inlineStr">
        <is>
          <t/>
        </is>
      </c>
      <c r="O71" t="inlineStr">
        <is>
          <t/>
        </is>
      </c>
      <c r="P71" t="inlineStr">
        <is>
          <t/>
        </is>
      </c>
      <c r="Q71" t="inlineStr">
        <is>
          <t/>
        </is>
      </c>
      <c r="R71" t="inlineStr">
        <is>
          <t/>
        </is>
      </c>
      <c r="S71" t="inlineStr">
        <is>
          <t/>
        </is>
      </c>
      <c r="T71" t="inlineStr">
        <is>
          <t/>
        </is>
      </c>
      <c r="U71" t="inlineStr">
        <is>
          <t/>
        </is>
      </c>
      <c r="V71" t="inlineStr">
        <is>
          <t/>
        </is>
      </c>
      <c r="W71" t="inlineStr">
        <is>
          <t/>
        </is>
      </c>
      <c r="X71" t="inlineStr">
        <is>
          <t/>
        </is>
      </c>
      <c r="Y71" t="inlineStr">
        <is>
          <t/>
        </is>
      </c>
      <c r="Z71" t="inlineStr">
        <is>
          <t/>
        </is>
      </c>
      <c r="AA71" t="inlineStr">
        <is>
          <t/>
        </is>
      </c>
      <c r="AB71">
        <f>IF(D71="","",((D71-1)+(5-E71)+(F71-1)+(5-G71)+(H71-1)+(5-I71)+(J71-1)+(5-K71)+(L71-1)+(5-M71))*2.5)</f>
      </c>
      <c r="AC71">
        <f>IF(N71="","",AVERAGE(N71:S71))</f>
      </c>
      <c r="AD71">
        <f>IF(T71="","",AVERAGE(T71:W71))</f>
      </c>
      <c r="AE71">
        <f>IF(X71="","",AVERAGE(X71:AA71))</f>
      </c>
      <c r="AF71" t="inlineStr">
        <is>
          <t/>
        </is>
      </c>
    </row>
    <row r="72">
      <c r="A72" t="inlineStr">
        <is>
          <t/>
        </is>
      </c>
      <c r="B72" t="inlineStr">
        <is>
          <t/>
        </is>
      </c>
      <c r="C72" t="inlineStr">
        <is>
          <t/>
        </is>
      </c>
      <c r="D72" t="inlineStr">
        <is>
          <t/>
        </is>
      </c>
      <c r="E72" t="inlineStr">
        <is>
          <t/>
        </is>
      </c>
      <c r="F72" t="inlineStr">
        <is>
          <t/>
        </is>
      </c>
      <c r="G72" t="inlineStr">
        <is>
          <t/>
        </is>
      </c>
      <c r="H72" t="inlineStr">
        <is>
          <t/>
        </is>
      </c>
      <c r="I72" t="inlineStr">
        <is>
          <t/>
        </is>
      </c>
      <c r="J72" t="inlineStr">
        <is>
          <t/>
        </is>
      </c>
      <c r="K72" t="inlineStr">
        <is>
          <t/>
        </is>
      </c>
      <c r="L72" t="inlineStr">
        <is>
          <t/>
        </is>
      </c>
      <c r="M72" t="inlineStr">
        <is>
          <t/>
        </is>
      </c>
      <c r="N72" t="inlineStr">
        <is>
          <t/>
        </is>
      </c>
      <c r="O72" t="inlineStr">
        <is>
          <t/>
        </is>
      </c>
      <c r="P72" t="inlineStr">
        <is>
          <t/>
        </is>
      </c>
      <c r="Q72" t="inlineStr">
        <is>
          <t/>
        </is>
      </c>
      <c r="R72" t="inlineStr">
        <is>
          <t/>
        </is>
      </c>
      <c r="S72" t="inlineStr">
        <is>
          <t/>
        </is>
      </c>
      <c r="T72" t="inlineStr">
        <is>
          <t/>
        </is>
      </c>
      <c r="U72" t="inlineStr">
        <is>
          <t/>
        </is>
      </c>
      <c r="V72" t="inlineStr">
        <is>
          <t/>
        </is>
      </c>
      <c r="W72" t="inlineStr">
        <is>
          <t/>
        </is>
      </c>
      <c r="X72" t="inlineStr">
        <is>
          <t/>
        </is>
      </c>
      <c r="Y72" t="inlineStr">
        <is>
          <t/>
        </is>
      </c>
      <c r="Z72" t="inlineStr">
        <is>
          <t/>
        </is>
      </c>
      <c r="AA72" t="inlineStr">
        <is>
          <t/>
        </is>
      </c>
      <c r="AB72">
        <f>IF(D72="","",((D72-1)+(5-E72)+(F72-1)+(5-G72)+(H72-1)+(5-I72)+(J72-1)+(5-K72)+(L72-1)+(5-M72))*2.5)</f>
      </c>
      <c r="AC72">
        <f>IF(N72="","",AVERAGE(N72:S72))</f>
      </c>
      <c r="AD72">
        <f>IF(T72="","",AVERAGE(T72:W72))</f>
      </c>
      <c r="AE72">
        <f>IF(X72="","",AVERAGE(X72:AA72))</f>
      </c>
      <c r="AF72" t="inlineStr">
        <is>
          <t/>
        </is>
      </c>
    </row>
    <row r="73">
      <c r="A73" t="inlineStr">
        <is>
          <t/>
        </is>
      </c>
      <c r="B73" t="inlineStr">
        <is>
          <t/>
        </is>
      </c>
      <c r="C73" t="inlineStr">
        <is>
          <t/>
        </is>
      </c>
      <c r="D73" t="inlineStr">
        <is>
          <t/>
        </is>
      </c>
      <c r="E73" t="inlineStr">
        <is>
          <t/>
        </is>
      </c>
      <c r="F73" t="inlineStr">
        <is>
          <t/>
        </is>
      </c>
      <c r="G73" t="inlineStr">
        <is>
          <t/>
        </is>
      </c>
      <c r="H73" t="inlineStr">
        <is>
          <t/>
        </is>
      </c>
      <c r="I73" t="inlineStr">
        <is>
          <t/>
        </is>
      </c>
      <c r="J73" t="inlineStr">
        <is>
          <t/>
        </is>
      </c>
      <c r="K73" t="inlineStr">
        <is>
          <t/>
        </is>
      </c>
      <c r="L73" t="inlineStr">
        <is>
          <t/>
        </is>
      </c>
      <c r="M73" t="inlineStr">
        <is>
          <t/>
        </is>
      </c>
      <c r="N73" t="inlineStr">
        <is>
          <t/>
        </is>
      </c>
      <c r="O73" t="inlineStr">
        <is>
          <t/>
        </is>
      </c>
      <c r="P73" t="inlineStr">
        <is>
          <t/>
        </is>
      </c>
      <c r="Q73" t="inlineStr">
        <is>
          <t/>
        </is>
      </c>
      <c r="R73" t="inlineStr">
        <is>
          <t/>
        </is>
      </c>
      <c r="S73" t="inlineStr">
        <is>
          <t/>
        </is>
      </c>
      <c r="T73" t="inlineStr">
        <is>
          <t/>
        </is>
      </c>
      <c r="U73" t="inlineStr">
        <is>
          <t/>
        </is>
      </c>
      <c r="V73" t="inlineStr">
        <is>
          <t/>
        </is>
      </c>
      <c r="W73" t="inlineStr">
        <is>
          <t/>
        </is>
      </c>
      <c r="X73" t="inlineStr">
        <is>
          <t/>
        </is>
      </c>
      <c r="Y73" t="inlineStr">
        <is>
          <t/>
        </is>
      </c>
      <c r="Z73" t="inlineStr">
        <is>
          <t/>
        </is>
      </c>
      <c r="AA73" t="inlineStr">
        <is>
          <t/>
        </is>
      </c>
      <c r="AB73">
        <f>IF(D73="","",((D73-1)+(5-E73)+(F73-1)+(5-G73)+(H73-1)+(5-I73)+(J73-1)+(5-K73)+(L73-1)+(5-M73))*2.5)</f>
      </c>
      <c r="AC73">
        <f>IF(N73="","",AVERAGE(N73:S73))</f>
      </c>
      <c r="AD73">
        <f>IF(T73="","",AVERAGE(T73:W73))</f>
      </c>
      <c r="AE73">
        <f>IF(X73="","",AVERAGE(X73:AA73))</f>
      </c>
      <c r="AF73" t="inlineStr">
        <is>
          <t/>
        </is>
      </c>
    </row>
    <row r="74">
      <c r="A74" t="inlineStr">
        <is>
          <t/>
        </is>
      </c>
      <c r="B74" t="inlineStr">
        <is>
          <t/>
        </is>
      </c>
      <c r="C74" t="inlineStr">
        <is>
          <t/>
        </is>
      </c>
      <c r="D74" t="inlineStr">
        <is>
          <t/>
        </is>
      </c>
      <c r="E74" t="inlineStr">
        <is>
          <t/>
        </is>
      </c>
      <c r="F74" t="inlineStr">
        <is>
          <t/>
        </is>
      </c>
      <c r="G74" t="inlineStr">
        <is>
          <t/>
        </is>
      </c>
      <c r="H74" t="inlineStr">
        <is>
          <t/>
        </is>
      </c>
      <c r="I74" t="inlineStr">
        <is>
          <t/>
        </is>
      </c>
      <c r="J74" t="inlineStr">
        <is>
          <t/>
        </is>
      </c>
      <c r="K74" t="inlineStr">
        <is>
          <t/>
        </is>
      </c>
      <c r="L74" t="inlineStr">
        <is>
          <t/>
        </is>
      </c>
      <c r="M74" t="inlineStr">
        <is>
          <t/>
        </is>
      </c>
      <c r="N74" t="inlineStr">
        <is>
          <t/>
        </is>
      </c>
      <c r="O74" t="inlineStr">
        <is>
          <t/>
        </is>
      </c>
      <c r="P74" t="inlineStr">
        <is>
          <t/>
        </is>
      </c>
      <c r="Q74" t="inlineStr">
        <is>
          <t/>
        </is>
      </c>
      <c r="R74" t="inlineStr">
        <is>
          <t/>
        </is>
      </c>
      <c r="S74" t="inlineStr">
        <is>
          <t/>
        </is>
      </c>
      <c r="T74" t="inlineStr">
        <is>
          <t/>
        </is>
      </c>
      <c r="U74" t="inlineStr">
        <is>
          <t/>
        </is>
      </c>
      <c r="V74" t="inlineStr">
        <is>
          <t/>
        </is>
      </c>
      <c r="W74" t="inlineStr">
        <is>
          <t/>
        </is>
      </c>
      <c r="X74" t="inlineStr">
        <is>
          <t/>
        </is>
      </c>
      <c r="Y74" t="inlineStr">
        <is>
          <t/>
        </is>
      </c>
      <c r="Z74" t="inlineStr">
        <is>
          <t/>
        </is>
      </c>
      <c r="AA74" t="inlineStr">
        <is>
          <t/>
        </is>
      </c>
      <c r="AB74">
        <f>IF(D74="","",((D74-1)+(5-E74)+(F74-1)+(5-G74)+(H74-1)+(5-I74)+(J74-1)+(5-K74)+(L74-1)+(5-M74))*2.5)</f>
      </c>
      <c r="AC74">
        <f>IF(N74="","",AVERAGE(N74:S74))</f>
      </c>
      <c r="AD74">
        <f>IF(T74="","",AVERAGE(T74:W74))</f>
      </c>
      <c r="AE74">
        <f>IF(X74="","",AVERAGE(X74:AA74))</f>
      </c>
      <c r="AF74" t="inlineStr">
        <is>
          <t/>
        </is>
      </c>
    </row>
    <row r="75">
      <c r="A75" t="inlineStr">
        <is>
          <t/>
        </is>
      </c>
      <c r="B75" t="inlineStr">
        <is>
          <t/>
        </is>
      </c>
      <c r="C75" t="inlineStr">
        <is>
          <t/>
        </is>
      </c>
      <c r="D75" t="inlineStr">
        <is>
          <t/>
        </is>
      </c>
      <c r="E75" t="inlineStr">
        <is>
          <t/>
        </is>
      </c>
      <c r="F75" t="inlineStr">
        <is>
          <t/>
        </is>
      </c>
      <c r="G75" t="inlineStr">
        <is>
          <t/>
        </is>
      </c>
      <c r="H75" t="inlineStr">
        <is>
          <t/>
        </is>
      </c>
      <c r="I75" t="inlineStr">
        <is>
          <t/>
        </is>
      </c>
      <c r="J75" t="inlineStr">
        <is>
          <t/>
        </is>
      </c>
      <c r="K75" t="inlineStr">
        <is>
          <t/>
        </is>
      </c>
      <c r="L75" t="inlineStr">
        <is>
          <t/>
        </is>
      </c>
      <c r="M75" t="inlineStr">
        <is>
          <t/>
        </is>
      </c>
      <c r="N75" t="inlineStr">
        <is>
          <t/>
        </is>
      </c>
      <c r="O75" t="inlineStr">
        <is>
          <t/>
        </is>
      </c>
      <c r="P75" t="inlineStr">
        <is>
          <t/>
        </is>
      </c>
      <c r="Q75" t="inlineStr">
        <is>
          <t/>
        </is>
      </c>
      <c r="R75" t="inlineStr">
        <is>
          <t/>
        </is>
      </c>
      <c r="S75" t="inlineStr">
        <is>
          <t/>
        </is>
      </c>
      <c r="T75" t="inlineStr">
        <is>
          <t/>
        </is>
      </c>
      <c r="U75" t="inlineStr">
        <is>
          <t/>
        </is>
      </c>
      <c r="V75" t="inlineStr">
        <is>
          <t/>
        </is>
      </c>
      <c r="W75" t="inlineStr">
        <is>
          <t/>
        </is>
      </c>
      <c r="X75" t="inlineStr">
        <is>
          <t/>
        </is>
      </c>
      <c r="Y75" t="inlineStr">
        <is>
          <t/>
        </is>
      </c>
      <c r="Z75" t="inlineStr">
        <is>
          <t/>
        </is>
      </c>
      <c r="AA75" t="inlineStr">
        <is>
          <t/>
        </is>
      </c>
      <c r="AB75">
        <f>IF(D75="","",((D75-1)+(5-E75)+(F75-1)+(5-G75)+(H75-1)+(5-I75)+(J75-1)+(5-K75)+(L75-1)+(5-M75))*2.5)</f>
      </c>
      <c r="AC75">
        <f>IF(N75="","",AVERAGE(N75:S75))</f>
      </c>
      <c r="AD75">
        <f>IF(T75="","",AVERAGE(T75:W75))</f>
      </c>
      <c r="AE75">
        <f>IF(X75="","",AVERAGE(X75:AA75))</f>
      </c>
      <c r="AF75" t="inlineStr">
        <is>
          <t/>
        </is>
      </c>
    </row>
    <row r="76">
      <c r="A76" t="inlineStr">
        <is>
          <t/>
        </is>
      </c>
      <c r="B76" t="inlineStr">
        <is>
          <t/>
        </is>
      </c>
      <c r="C76" t="inlineStr">
        <is>
          <t/>
        </is>
      </c>
      <c r="D76" t="inlineStr">
        <is>
          <t/>
        </is>
      </c>
      <c r="E76" t="inlineStr">
        <is>
          <t/>
        </is>
      </c>
      <c r="F76" t="inlineStr">
        <is>
          <t/>
        </is>
      </c>
      <c r="G76" t="inlineStr">
        <is>
          <t/>
        </is>
      </c>
      <c r="H76" t="inlineStr">
        <is>
          <t/>
        </is>
      </c>
      <c r="I76" t="inlineStr">
        <is>
          <t/>
        </is>
      </c>
      <c r="J76" t="inlineStr">
        <is>
          <t/>
        </is>
      </c>
      <c r="K76" t="inlineStr">
        <is>
          <t/>
        </is>
      </c>
      <c r="L76" t="inlineStr">
        <is>
          <t/>
        </is>
      </c>
      <c r="M76" t="inlineStr">
        <is>
          <t/>
        </is>
      </c>
      <c r="N76" t="inlineStr">
        <is>
          <t/>
        </is>
      </c>
      <c r="O76" t="inlineStr">
        <is>
          <t/>
        </is>
      </c>
      <c r="P76" t="inlineStr">
        <is>
          <t/>
        </is>
      </c>
      <c r="Q76" t="inlineStr">
        <is>
          <t/>
        </is>
      </c>
      <c r="R76" t="inlineStr">
        <is>
          <t/>
        </is>
      </c>
      <c r="S76" t="inlineStr">
        <is>
          <t/>
        </is>
      </c>
      <c r="T76" t="inlineStr">
        <is>
          <t/>
        </is>
      </c>
      <c r="U76" t="inlineStr">
        <is>
          <t/>
        </is>
      </c>
      <c r="V76" t="inlineStr">
        <is>
          <t/>
        </is>
      </c>
      <c r="W76" t="inlineStr">
        <is>
          <t/>
        </is>
      </c>
      <c r="X76" t="inlineStr">
        <is>
          <t/>
        </is>
      </c>
      <c r="Y76" t="inlineStr">
        <is>
          <t/>
        </is>
      </c>
      <c r="Z76" t="inlineStr">
        <is>
          <t/>
        </is>
      </c>
      <c r="AA76" t="inlineStr">
        <is>
          <t/>
        </is>
      </c>
      <c r="AB76">
        <f>IF(D76="","",((D76-1)+(5-E76)+(F76-1)+(5-G76)+(H76-1)+(5-I76)+(J76-1)+(5-K76)+(L76-1)+(5-M76))*2.5)</f>
      </c>
      <c r="AC76">
        <f>IF(N76="","",AVERAGE(N76:S76))</f>
      </c>
      <c r="AD76">
        <f>IF(T76="","",AVERAGE(T76:W76))</f>
      </c>
      <c r="AE76">
        <f>IF(X76="","",AVERAGE(X76:AA76))</f>
      </c>
      <c r="AF76" t="inlineStr">
        <is>
          <t/>
        </is>
      </c>
    </row>
    <row r="77">
      <c r="A77" t="inlineStr">
        <is>
          <t/>
        </is>
      </c>
      <c r="B77" t="inlineStr">
        <is>
          <t/>
        </is>
      </c>
      <c r="C77" t="inlineStr">
        <is>
          <t/>
        </is>
      </c>
      <c r="D77" t="inlineStr">
        <is>
          <t/>
        </is>
      </c>
      <c r="E77" t="inlineStr">
        <is>
          <t/>
        </is>
      </c>
      <c r="F77" t="inlineStr">
        <is>
          <t/>
        </is>
      </c>
      <c r="G77" t="inlineStr">
        <is>
          <t/>
        </is>
      </c>
      <c r="H77" t="inlineStr">
        <is>
          <t/>
        </is>
      </c>
      <c r="I77" t="inlineStr">
        <is>
          <t/>
        </is>
      </c>
      <c r="J77" t="inlineStr">
        <is>
          <t/>
        </is>
      </c>
      <c r="K77" t="inlineStr">
        <is>
          <t/>
        </is>
      </c>
      <c r="L77" t="inlineStr">
        <is>
          <t/>
        </is>
      </c>
      <c r="M77" t="inlineStr">
        <is>
          <t/>
        </is>
      </c>
      <c r="N77" t="inlineStr">
        <is>
          <t/>
        </is>
      </c>
      <c r="O77" t="inlineStr">
        <is>
          <t/>
        </is>
      </c>
      <c r="P77" t="inlineStr">
        <is>
          <t/>
        </is>
      </c>
      <c r="Q77" t="inlineStr">
        <is>
          <t/>
        </is>
      </c>
      <c r="R77" t="inlineStr">
        <is>
          <t/>
        </is>
      </c>
      <c r="S77" t="inlineStr">
        <is>
          <t/>
        </is>
      </c>
      <c r="T77" t="inlineStr">
        <is>
          <t/>
        </is>
      </c>
      <c r="U77" t="inlineStr">
        <is>
          <t/>
        </is>
      </c>
      <c r="V77" t="inlineStr">
        <is>
          <t/>
        </is>
      </c>
      <c r="W77" t="inlineStr">
        <is>
          <t/>
        </is>
      </c>
      <c r="X77" t="inlineStr">
        <is>
          <t/>
        </is>
      </c>
      <c r="Y77" t="inlineStr">
        <is>
          <t/>
        </is>
      </c>
      <c r="Z77" t="inlineStr">
        <is>
          <t/>
        </is>
      </c>
      <c r="AA77" t="inlineStr">
        <is>
          <t/>
        </is>
      </c>
      <c r="AB77">
        <f>IF(D77="","",((D77-1)+(5-E77)+(F77-1)+(5-G77)+(H77-1)+(5-I77)+(J77-1)+(5-K77)+(L77-1)+(5-M77))*2.5)</f>
      </c>
      <c r="AC77">
        <f>IF(N77="","",AVERAGE(N77:S77))</f>
      </c>
      <c r="AD77">
        <f>IF(T77="","",AVERAGE(T77:W77))</f>
      </c>
      <c r="AE77">
        <f>IF(X77="","",AVERAGE(X77:AA77))</f>
      </c>
      <c r="AF77" t="inlineStr">
        <is>
          <t/>
        </is>
      </c>
    </row>
    <row r="78">
      <c r="A78" t="inlineStr">
        <is>
          <t/>
        </is>
      </c>
      <c r="B78" t="inlineStr">
        <is>
          <t/>
        </is>
      </c>
      <c r="C78" t="inlineStr">
        <is>
          <t/>
        </is>
      </c>
      <c r="D78" t="inlineStr">
        <is>
          <t/>
        </is>
      </c>
      <c r="E78" t="inlineStr">
        <is>
          <t/>
        </is>
      </c>
      <c r="F78" t="inlineStr">
        <is>
          <t/>
        </is>
      </c>
      <c r="G78" t="inlineStr">
        <is>
          <t/>
        </is>
      </c>
      <c r="H78" t="inlineStr">
        <is>
          <t/>
        </is>
      </c>
      <c r="I78" t="inlineStr">
        <is>
          <t/>
        </is>
      </c>
      <c r="J78" t="inlineStr">
        <is>
          <t/>
        </is>
      </c>
      <c r="K78" t="inlineStr">
        <is>
          <t/>
        </is>
      </c>
      <c r="L78" t="inlineStr">
        <is>
          <t/>
        </is>
      </c>
      <c r="M78" t="inlineStr">
        <is>
          <t/>
        </is>
      </c>
      <c r="N78" t="inlineStr">
        <is>
          <t/>
        </is>
      </c>
      <c r="O78" t="inlineStr">
        <is>
          <t/>
        </is>
      </c>
      <c r="P78" t="inlineStr">
        <is>
          <t/>
        </is>
      </c>
      <c r="Q78" t="inlineStr">
        <is>
          <t/>
        </is>
      </c>
      <c r="R78" t="inlineStr">
        <is>
          <t/>
        </is>
      </c>
      <c r="S78" t="inlineStr">
        <is>
          <t/>
        </is>
      </c>
      <c r="T78" t="inlineStr">
        <is>
          <t/>
        </is>
      </c>
      <c r="U78" t="inlineStr">
        <is>
          <t/>
        </is>
      </c>
      <c r="V78" t="inlineStr">
        <is>
          <t/>
        </is>
      </c>
      <c r="W78" t="inlineStr">
        <is>
          <t/>
        </is>
      </c>
      <c r="X78" t="inlineStr">
        <is>
          <t/>
        </is>
      </c>
      <c r="Y78" t="inlineStr">
        <is>
          <t/>
        </is>
      </c>
      <c r="Z78" t="inlineStr">
        <is>
          <t/>
        </is>
      </c>
      <c r="AA78" t="inlineStr">
        <is>
          <t/>
        </is>
      </c>
      <c r="AB78">
        <f>IF(D78="","",((D78-1)+(5-E78)+(F78-1)+(5-G78)+(H78-1)+(5-I78)+(J78-1)+(5-K78)+(L78-1)+(5-M78))*2.5)</f>
      </c>
      <c r="AC78">
        <f>IF(N78="","",AVERAGE(N78:S78))</f>
      </c>
      <c r="AD78">
        <f>IF(T78="","",AVERAGE(T78:W78))</f>
      </c>
      <c r="AE78">
        <f>IF(X78="","",AVERAGE(X78:AA78))</f>
      </c>
      <c r="AF78" t="inlineStr">
        <is>
          <t/>
        </is>
      </c>
    </row>
    <row r="79">
      <c r="A79" t="inlineStr">
        <is>
          <t/>
        </is>
      </c>
      <c r="B79" t="inlineStr">
        <is>
          <t/>
        </is>
      </c>
      <c r="C79" t="inlineStr">
        <is>
          <t/>
        </is>
      </c>
      <c r="D79" t="inlineStr">
        <is>
          <t/>
        </is>
      </c>
      <c r="E79" t="inlineStr">
        <is>
          <t/>
        </is>
      </c>
      <c r="F79" t="inlineStr">
        <is>
          <t/>
        </is>
      </c>
      <c r="G79" t="inlineStr">
        <is>
          <t/>
        </is>
      </c>
      <c r="H79" t="inlineStr">
        <is>
          <t/>
        </is>
      </c>
      <c r="I79" t="inlineStr">
        <is>
          <t/>
        </is>
      </c>
      <c r="J79" t="inlineStr">
        <is>
          <t/>
        </is>
      </c>
      <c r="K79" t="inlineStr">
        <is>
          <t/>
        </is>
      </c>
      <c r="L79" t="inlineStr">
        <is>
          <t/>
        </is>
      </c>
      <c r="M79" t="inlineStr">
        <is>
          <t/>
        </is>
      </c>
      <c r="N79" t="inlineStr">
        <is>
          <t/>
        </is>
      </c>
      <c r="O79" t="inlineStr">
        <is>
          <t/>
        </is>
      </c>
      <c r="P79" t="inlineStr">
        <is>
          <t/>
        </is>
      </c>
      <c r="Q79" t="inlineStr">
        <is>
          <t/>
        </is>
      </c>
      <c r="R79" t="inlineStr">
        <is>
          <t/>
        </is>
      </c>
      <c r="S79" t="inlineStr">
        <is>
          <t/>
        </is>
      </c>
      <c r="T79" t="inlineStr">
        <is>
          <t/>
        </is>
      </c>
      <c r="U79" t="inlineStr">
        <is>
          <t/>
        </is>
      </c>
      <c r="V79" t="inlineStr">
        <is>
          <t/>
        </is>
      </c>
      <c r="W79" t="inlineStr">
        <is>
          <t/>
        </is>
      </c>
      <c r="X79" t="inlineStr">
        <is>
          <t/>
        </is>
      </c>
      <c r="Y79" t="inlineStr">
        <is>
          <t/>
        </is>
      </c>
      <c r="Z79" t="inlineStr">
        <is>
          <t/>
        </is>
      </c>
      <c r="AA79" t="inlineStr">
        <is>
          <t/>
        </is>
      </c>
      <c r="AB79">
        <f>IF(D79="","",((D79-1)+(5-E79)+(F79-1)+(5-G79)+(H79-1)+(5-I79)+(J79-1)+(5-K79)+(L79-1)+(5-M79))*2.5)</f>
      </c>
      <c r="AC79">
        <f>IF(N79="","",AVERAGE(N79:S79))</f>
      </c>
      <c r="AD79">
        <f>IF(T79="","",AVERAGE(T79:W79))</f>
      </c>
      <c r="AE79">
        <f>IF(X79="","",AVERAGE(X79:AA79))</f>
      </c>
      <c r="AF79" t="inlineStr">
        <is>
          <t/>
        </is>
      </c>
    </row>
    <row r="80">
      <c r="A80" t="inlineStr">
        <is>
          <t/>
        </is>
      </c>
      <c r="B80" t="inlineStr">
        <is>
          <t/>
        </is>
      </c>
      <c r="C80" t="inlineStr">
        <is>
          <t/>
        </is>
      </c>
      <c r="D80" t="inlineStr">
        <is>
          <t/>
        </is>
      </c>
      <c r="E80" t="inlineStr">
        <is>
          <t/>
        </is>
      </c>
      <c r="F80" t="inlineStr">
        <is>
          <t/>
        </is>
      </c>
      <c r="G80" t="inlineStr">
        <is>
          <t/>
        </is>
      </c>
      <c r="H80" t="inlineStr">
        <is>
          <t/>
        </is>
      </c>
      <c r="I80" t="inlineStr">
        <is>
          <t/>
        </is>
      </c>
      <c r="J80" t="inlineStr">
        <is>
          <t/>
        </is>
      </c>
      <c r="K80" t="inlineStr">
        <is>
          <t/>
        </is>
      </c>
      <c r="L80" t="inlineStr">
        <is>
          <t/>
        </is>
      </c>
      <c r="M80" t="inlineStr">
        <is>
          <t/>
        </is>
      </c>
      <c r="N80" t="inlineStr">
        <is>
          <t/>
        </is>
      </c>
      <c r="O80" t="inlineStr">
        <is>
          <t/>
        </is>
      </c>
      <c r="P80" t="inlineStr">
        <is>
          <t/>
        </is>
      </c>
      <c r="Q80" t="inlineStr">
        <is>
          <t/>
        </is>
      </c>
      <c r="R80" t="inlineStr">
        <is>
          <t/>
        </is>
      </c>
      <c r="S80" t="inlineStr">
        <is>
          <t/>
        </is>
      </c>
      <c r="T80" t="inlineStr">
        <is>
          <t/>
        </is>
      </c>
      <c r="U80" t="inlineStr">
        <is>
          <t/>
        </is>
      </c>
      <c r="V80" t="inlineStr">
        <is>
          <t/>
        </is>
      </c>
      <c r="W80" t="inlineStr">
        <is>
          <t/>
        </is>
      </c>
      <c r="X80" t="inlineStr">
        <is>
          <t/>
        </is>
      </c>
      <c r="Y80" t="inlineStr">
        <is>
          <t/>
        </is>
      </c>
      <c r="Z80" t="inlineStr">
        <is>
          <t/>
        </is>
      </c>
      <c r="AA80" t="inlineStr">
        <is>
          <t/>
        </is>
      </c>
      <c r="AB80">
        <f>IF(D80="","",((D80-1)+(5-E80)+(F80-1)+(5-G80)+(H80-1)+(5-I80)+(J80-1)+(5-K80)+(L80-1)+(5-M80))*2.5)</f>
      </c>
      <c r="AC80">
        <f>IF(N80="","",AVERAGE(N80:S80))</f>
      </c>
      <c r="AD80">
        <f>IF(T80="","",AVERAGE(T80:W80))</f>
      </c>
      <c r="AE80">
        <f>IF(X80="","",AVERAGE(X80:AA80))</f>
      </c>
      <c r="AF80" t="inlineStr">
        <is>
          <t/>
        </is>
      </c>
    </row>
    <row r="81">
      <c r="A81" t="inlineStr">
        <is>
          <t/>
        </is>
      </c>
      <c r="B81" t="inlineStr">
        <is>
          <t/>
        </is>
      </c>
      <c r="C81" t="inlineStr">
        <is>
          <t/>
        </is>
      </c>
      <c r="D81" t="inlineStr">
        <is>
          <t/>
        </is>
      </c>
      <c r="E81" t="inlineStr">
        <is>
          <t/>
        </is>
      </c>
      <c r="F81" t="inlineStr">
        <is>
          <t/>
        </is>
      </c>
      <c r="G81" t="inlineStr">
        <is>
          <t/>
        </is>
      </c>
      <c r="H81" t="inlineStr">
        <is>
          <t/>
        </is>
      </c>
      <c r="I81" t="inlineStr">
        <is>
          <t/>
        </is>
      </c>
      <c r="J81" t="inlineStr">
        <is>
          <t/>
        </is>
      </c>
      <c r="K81" t="inlineStr">
        <is>
          <t/>
        </is>
      </c>
      <c r="L81" t="inlineStr">
        <is>
          <t/>
        </is>
      </c>
      <c r="M81" t="inlineStr">
        <is>
          <t/>
        </is>
      </c>
      <c r="N81" t="inlineStr">
        <is>
          <t/>
        </is>
      </c>
      <c r="O81" t="inlineStr">
        <is>
          <t/>
        </is>
      </c>
      <c r="P81" t="inlineStr">
        <is>
          <t/>
        </is>
      </c>
      <c r="Q81" t="inlineStr">
        <is>
          <t/>
        </is>
      </c>
      <c r="R81" t="inlineStr">
        <is>
          <t/>
        </is>
      </c>
      <c r="S81" t="inlineStr">
        <is>
          <t/>
        </is>
      </c>
      <c r="T81" t="inlineStr">
        <is>
          <t/>
        </is>
      </c>
      <c r="U81" t="inlineStr">
        <is>
          <t/>
        </is>
      </c>
      <c r="V81" t="inlineStr">
        <is>
          <t/>
        </is>
      </c>
      <c r="W81" t="inlineStr">
        <is>
          <t/>
        </is>
      </c>
      <c r="X81" t="inlineStr">
        <is>
          <t/>
        </is>
      </c>
      <c r="Y81" t="inlineStr">
        <is>
          <t/>
        </is>
      </c>
      <c r="Z81" t="inlineStr">
        <is>
          <t/>
        </is>
      </c>
      <c r="AA81" t="inlineStr">
        <is>
          <t/>
        </is>
      </c>
      <c r="AB81">
        <f>IF(D81="","",((D81-1)+(5-E81)+(F81-1)+(5-G81)+(H81-1)+(5-I81)+(J81-1)+(5-K81)+(L81-1)+(5-M81))*2.5)</f>
      </c>
      <c r="AC81">
        <f>IF(N81="","",AVERAGE(N81:S81))</f>
      </c>
      <c r="AD81">
        <f>IF(T81="","",AVERAGE(T81:W81))</f>
      </c>
      <c r="AE81">
        <f>IF(X81="","",AVERAGE(X81:AA81))</f>
      </c>
      <c r="AF81" t="inlineStr">
        <is>
          <t/>
        </is>
      </c>
    </row>
    <row r="82">
      <c r="A82" t="inlineStr">
        <is>
          <t/>
        </is>
      </c>
      <c r="B82" t="inlineStr">
        <is>
          <t/>
        </is>
      </c>
      <c r="C82" t="inlineStr">
        <is>
          <t/>
        </is>
      </c>
      <c r="D82" t="inlineStr">
        <is>
          <t/>
        </is>
      </c>
      <c r="E82" t="inlineStr">
        <is>
          <t/>
        </is>
      </c>
      <c r="F82" t="inlineStr">
        <is>
          <t/>
        </is>
      </c>
      <c r="G82" t="inlineStr">
        <is>
          <t/>
        </is>
      </c>
      <c r="H82" t="inlineStr">
        <is>
          <t/>
        </is>
      </c>
      <c r="I82" t="inlineStr">
        <is>
          <t/>
        </is>
      </c>
      <c r="J82" t="inlineStr">
        <is>
          <t/>
        </is>
      </c>
      <c r="K82" t="inlineStr">
        <is>
          <t/>
        </is>
      </c>
      <c r="L82" t="inlineStr">
        <is>
          <t/>
        </is>
      </c>
      <c r="M82" t="inlineStr">
        <is>
          <t/>
        </is>
      </c>
      <c r="N82" t="inlineStr">
        <is>
          <t/>
        </is>
      </c>
      <c r="O82" t="inlineStr">
        <is>
          <t/>
        </is>
      </c>
      <c r="P82" t="inlineStr">
        <is>
          <t/>
        </is>
      </c>
      <c r="Q82" t="inlineStr">
        <is>
          <t/>
        </is>
      </c>
      <c r="R82" t="inlineStr">
        <is>
          <t/>
        </is>
      </c>
      <c r="S82" t="inlineStr">
        <is>
          <t/>
        </is>
      </c>
      <c r="T82" t="inlineStr">
        <is>
          <t/>
        </is>
      </c>
      <c r="U82" t="inlineStr">
        <is>
          <t/>
        </is>
      </c>
      <c r="V82" t="inlineStr">
        <is>
          <t/>
        </is>
      </c>
      <c r="W82" t="inlineStr">
        <is>
          <t/>
        </is>
      </c>
      <c r="X82" t="inlineStr">
        <is>
          <t/>
        </is>
      </c>
      <c r="Y82" t="inlineStr">
        <is>
          <t/>
        </is>
      </c>
      <c r="Z82" t="inlineStr">
        <is>
          <t/>
        </is>
      </c>
      <c r="AA82" t="inlineStr">
        <is>
          <t/>
        </is>
      </c>
      <c r="AB82">
        <f>IF(D82="","",((D82-1)+(5-E82)+(F82-1)+(5-G82)+(H82-1)+(5-I82)+(J82-1)+(5-K82)+(L82-1)+(5-M82))*2.5)</f>
      </c>
      <c r="AC82">
        <f>IF(N82="","",AVERAGE(N82:S82))</f>
      </c>
      <c r="AD82">
        <f>IF(T82="","",AVERAGE(T82:W82))</f>
      </c>
      <c r="AE82">
        <f>IF(X82="","",AVERAGE(X82:AA82))</f>
      </c>
      <c r="AF82" t="inlineStr">
        <is>
          <t/>
        </is>
      </c>
    </row>
    <row r="83">
      <c r="A83" t="inlineStr">
        <is>
          <t/>
        </is>
      </c>
      <c r="B83" t="inlineStr">
        <is>
          <t/>
        </is>
      </c>
      <c r="C83" t="inlineStr">
        <is>
          <t/>
        </is>
      </c>
      <c r="D83" t="inlineStr">
        <is>
          <t/>
        </is>
      </c>
      <c r="E83" t="inlineStr">
        <is>
          <t/>
        </is>
      </c>
      <c r="F83" t="inlineStr">
        <is>
          <t/>
        </is>
      </c>
      <c r="G83" t="inlineStr">
        <is>
          <t/>
        </is>
      </c>
      <c r="H83" t="inlineStr">
        <is>
          <t/>
        </is>
      </c>
      <c r="I83" t="inlineStr">
        <is>
          <t/>
        </is>
      </c>
      <c r="J83" t="inlineStr">
        <is>
          <t/>
        </is>
      </c>
      <c r="K83" t="inlineStr">
        <is>
          <t/>
        </is>
      </c>
      <c r="L83" t="inlineStr">
        <is>
          <t/>
        </is>
      </c>
      <c r="M83" t="inlineStr">
        <is>
          <t/>
        </is>
      </c>
      <c r="N83" t="inlineStr">
        <is>
          <t/>
        </is>
      </c>
      <c r="O83" t="inlineStr">
        <is>
          <t/>
        </is>
      </c>
      <c r="P83" t="inlineStr">
        <is>
          <t/>
        </is>
      </c>
      <c r="Q83" t="inlineStr">
        <is>
          <t/>
        </is>
      </c>
      <c r="R83" t="inlineStr">
        <is>
          <t/>
        </is>
      </c>
      <c r="S83" t="inlineStr">
        <is>
          <t/>
        </is>
      </c>
      <c r="T83" t="inlineStr">
        <is>
          <t/>
        </is>
      </c>
      <c r="U83" t="inlineStr">
        <is>
          <t/>
        </is>
      </c>
      <c r="V83" t="inlineStr">
        <is>
          <t/>
        </is>
      </c>
      <c r="W83" t="inlineStr">
        <is>
          <t/>
        </is>
      </c>
      <c r="X83" t="inlineStr">
        <is>
          <t/>
        </is>
      </c>
      <c r="Y83" t="inlineStr">
        <is>
          <t/>
        </is>
      </c>
      <c r="Z83" t="inlineStr">
        <is>
          <t/>
        </is>
      </c>
      <c r="AA83" t="inlineStr">
        <is>
          <t/>
        </is>
      </c>
      <c r="AB83">
        <f>IF(D83="","",((D83-1)+(5-E83)+(F83-1)+(5-G83)+(H83-1)+(5-I83)+(J83-1)+(5-K83)+(L83-1)+(5-M83))*2.5)</f>
      </c>
      <c r="AC83">
        <f>IF(N83="","",AVERAGE(N83:S83))</f>
      </c>
      <c r="AD83">
        <f>IF(T83="","",AVERAGE(T83:W83))</f>
      </c>
      <c r="AE83">
        <f>IF(X83="","",AVERAGE(X83:AA83))</f>
      </c>
      <c r="AF83" t="inlineStr">
        <is>
          <t/>
        </is>
      </c>
    </row>
    <row r="84">
      <c r="A84" t="inlineStr">
        <is>
          <t/>
        </is>
      </c>
      <c r="B84" t="inlineStr">
        <is>
          <t/>
        </is>
      </c>
      <c r="C84" t="inlineStr">
        <is>
          <t/>
        </is>
      </c>
      <c r="D84" t="inlineStr">
        <is>
          <t/>
        </is>
      </c>
      <c r="E84" t="inlineStr">
        <is>
          <t/>
        </is>
      </c>
      <c r="F84" t="inlineStr">
        <is>
          <t/>
        </is>
      </c>
      <c r="G84" t="inlineStr">
        <is>
          <t/>
        </is>
      </c>
      <c r="H84" t="inlineStr">
        <is>
          <t/>
        </is>
      </c>
      <c r="I84" t="inlineStr">
        <is>
          <t/>
        </is>
      </c>
      <c r="J84" t="inlineStr">
        <is>
          <t/>
        </is>
      </c>
      <c r="K84" t="inlineStr">
        <is>
          <t/>
        </is>
      </c>
      <c r="L84" t="inlineStr">
        <is>
          <t/>
        </is>
      </c>
      <c r="M84" t="inlineStr">
        <is>
          <t/>
        </is>
      </c>
      <c r="N84" t="inlineStr">
        <is>
          <t/>
        </is>
      </c>
      <c r="O84" t="inlineStr">
        <is>
          <t/>
        </is>
      </c>
      <c r="P84" t="inlineStr">
        <is>
          <t/>
        </is>
      </c>
      <c r="Q84" t="inlineStr">
        <is>
          <t/>
        </is>
      </c>
      <c r="R84" t="inlineStr">
        <is>
          <t/>
        </is>
      </c>
      <c r="S84" t="inlineStr">
        <is>
          <t/>
        </is>
      </c>
      <c r="T84" t="inlineStr">
        <is>
          <t/>
        </is>
      </c>
      <c r="U84" t="inlineStr">
        <is>
          <t/>
        </is>
      </c>
      <c r="V84" t="inlineStr">
        <is>
          <t/>
        </is>
      </c>
      <c r="W84" t="inlineStr">
        <is>
          <t/>
        </is>
      </c>
      <c r="X84" t="inlineStr">
        <is>
          <t/>
        </is>
      </c>
      <c r="Y84" t="inlineStr">
        <is>
          <t/>
        </is>
      </c>
      <c r="Z84" t="inlineStr">
        <is>
          <t/>
        </is>
      </c>
      <c r="AA84" t="inlineStr">
        <is>
          <t/>
        </is>
      </c>
      <c r="AB84">
        <f>IF(D84="","",((D84-1)+(5-E84)+(F84-1)+(5-G84)+(H84-1)+(5-I84)+(J84-1)+(5-K84)+(L84-1)+(5-M84))*2.5)</f>
      </c>
      <c r="AC84">
        <f>IF(N84="","",AVERAGE(N84:S84))</f>
      </c>
      <c r="AD84">
        <f>IF(T84="","",AVERAGE(T84:W84))</f>
      </c>
      <c r="AE84">
        <f>IF(X84="","",AVERAGE(X84:AA84))</f>
      </c>
      <c r="AF84" t="inlineStr">
        <is>
          <t/>
        </is>
      </c>
    </row>
    <row r="85">
      <c r="A85" t="inlineStr">
        <is>
          <t/>
        </is>
      </c>
      <c r="B85" t="inlineStr">
        <is>
          <t/>
        </is>
      </c>
      <c r="C85" t="inlineStr">
        <is>
          <t/>
        </is>
      </c>
      <c r="D85" t="inlineStr">
        <is>
          <t/>
        </is>
      </c>
      <c r="E85" t="inlineStr">
        <is>
          <t/>
        </is>
      </c>
      <c r="F85" t="inlineStr">
        <is>
          <t/>
        </is>
      </c>
      <c r="G85" t="inlineStr">
        <is>
          <t/>
        </is>
      </c>
      <c r="H85" t="inlineStr">
        <is>
          <t/>
        </is>
      </c>
      <c r="I85" t="inlineStr">
        <is>
          <t/>
        </is>
      </c>
      <c r="J85" t="inlineStr">
        <is>
          <t/>
        </is>
      </c>
      <c r="K85" t="inlineStr">
        <is>
          <t/>
        </is>
      </c>
      <c r="L85" t="inlineStr">
        <is>
          <t/>
        </is>
      </c>
      <c r="M85" t="inlineStr">
        <is>
          <t/>
        </is>
      </c>
      <c r="N85" t="inlineStr">
        <is>
          <t/>
        </is>
      </c>
      <c r="O85" t="inlineStr">
        <is>
          <t/>
        </is>
      </c>
      <c r="P85" t="inlineStr">
        <is>
          <t/>
        </is>
      </c>
      <c r="Q85" t="inlineStr">
        <is>
          <t/>
        </is>
      </c>
      <c r="R85" t="inlineStr">
        <is>
          <t/>
        </is>
      </c>
      <c r="S85" t="inlineStr">
        <is>
          <t/>
        </is>
      </c>
      <c r="T85" t="inlineStr">
        <is>
          <t/>
        </is>
      </c>
      <c r="U85" t="inlineStr">
        <is>
          <t/>
        </is>
      </c>
      <c r="V85" t="inlineStr">
        <is>
          <t/>
        </is>
      </c>
      <c r="W85" t="inlineStr">
        <is>
          <t/>
        </is>
      </c>
      <c r="X85" t="inlineStr">
        <is>
          <t/>
        </is>
      </c>
      <c r="Y85" t="inlineStr">
        <is>
          <t/>
        </is>
      </c>
      <c r="Z85" t="inlineStr">
        <is>
          <t/>
        </is>
      </c>
      <c r="AA85" t="inlineStr">
        <is>
          <t/>
        </is>
      </c>
      <c r="AB85">
        <f>IF(D85="","",((D85-1)+(5-E85)+(F85-1)+(5-G85)+(H85-1)+(5-I85)+(J85-1)+(5-K85)+(L85-1)+(5-M85))*2.5)</f>
      </c>
      <c r="AC85">
        <f>IF(N85="","",AVERAGE(N85:S85))</f>
      </c>
      <c r="AD85">
        <f>IF(T85="","",AVERAGE(T85:W85))</f>
      </c>
      <c r="AE85">
        <f>IF(X85="","",AVERAGE(X85:AA85))</f>
      </c>
      <c r="AF85" t="inlineStr">
        <is>
          <t/>
        </is>
      </c>
    </row>
    <row r="86">
      <c r="A86" t="inlineStr">
        <is>
          <t/>
        </is>
      </c>
      <c r="B86" t="inlineStr">
        <is>
          <t/>
        </is>
      </c>
      <c r="C86" t="inlineStr">
        <is>
          <t/>
        </is>
      </c>
      <c r="D86" t="inlineStr">
        <is>
          <t/>
        </is>
      </c>
      <c r="E86" t="inlineStr">
        <is>
          <t/>
        </is>
      </c>
      <c r="F86" t="inlineStr">
        <is>
          <t/>
        </is>
      </c>
      <c r="G86" t="inlineStr">
        <is>
          <t/>
        </is>
      </c>
      <c r="H86" t="inlineStr">
        <is>
          <t/>
        </is>
      </c>
      <c r="I86" t="inlineStr">
        <is>
          <t/>
        </is>
      </c>
      <c r="J86" t="inlineStr">
        <is>
          <t/>
        </is>
      </c>
      <c r="K86" t="inlineStr">
        <is>
          <t/>
        </is>
      </c>
      <c r="L86" t="inlineStr">
        <is>
          <t/>
        </is>
      </c>
      <c r="M86" t="inlineStr">
        <is>
          <t/>
        </is>
      </c>
      <c r="N86" t="inlineStr">
        <is>
          <t/>
        </is>
      </c>
      <c r="O86" t="inlineStr">
        <is>
          <t/>
        </is>
      </c>
      <c r="P86" t="inlineStr">
        <is>
          <t/>
        </is>
      </c>
      <c r="Q86" t="inlineStr">
        <is>
          <t/>
        </is>
      </c>
      <c r="R86" t="inlineStr">
        <is>
          <t/>
        </is>
      </c>
      <c r="S86" t="inlineStr">
        <is>
          <t/>
        </is>
      </c>
      <c r="T86" t="inlineStr">
        <is>
          <t/>
        </is>
      </c>
      <c r="U86" t="inlineStr">
        <is>
          <t/>
        </is>
      </c>
      <c r="V86" t="inlineStr">
        <is>
          <t/>
        </is>
      </c>
      <c r="W86" t="inlineStr">
        <is>
          <t/>
        </is>
      </c>
      <c r="X86" t="inlineStr">
        <is>
          <t/>
        </is>
      </c>
      <c r="Y86" t="inlineStr">
        <is>
          <t/>
        </is>
      </c>
      <c r="Z86" t="inlineStr">
        <is>
          <t/>
        </is>
      </c>
      <c r="AA86" t="inlineStr">
        <is>
          <t/>
        </is>
      </c>
      <c r="AB86">
        <f>IF(D86="","",((D86-1)+(5-E86)+(F86-1)+(5-G86)+(H86-1)+(5-I86)+(J86-1)+(5-K86)+(L86-1)+(5-M86))*2.5)</f>
      </c>
      <c r="AC86">
        <f>IF(N86="","",AVERAGE(N86:S86))</f>
      </c>
      <c r="AD86">
        <f>IF(T86="","",AVERAGE(T86:W86))</f>
      </c>
      <c r="AE86">
        <f>IF(X86="","",AVERAGE(X86:AA86))</f>
      </c>
      <c r="AF86" t="inlineStr">
        <is>
          <t/>
        </is>
      </c>
    </row>
    <row r="87">
      <c r="A87" t="inlineStr">
        <is>
          <t/>
        </is>
      </c>
      <c r="B87" t="inlineStr">
        <is>
          <t/>
        </is>
      </c>
      <c r="C87" t="inlineStr">
        <is>
          <t/>
        </is>
      </c>
      <c r="D87" t="inlineStr">
        <is>
          <t/>
        </is>
      </c>
      <c r="E87" t="inlineStr">
        <is>
          <t/>
        </is>
      </c>
      <c r="F87" t="inlineStr">
        <is>
          <t/>
        </is>
      </c>
      <c r="G87" t="inlineStr">
        <is>
          <t/>
        </is>
      </c>
      <c r="H87" t="inlineStr">
        <is>
          <t/>
        </is>
      </c>
      <c r="I87" t="inlineStr">
        <is>
          <t/>
        </is>
      </c>
      <c r="J87" t="inlineStr">
        <is>
          <t/>
        </is>
      </c>
      <c r="K87" t="inlineStr">
        <is>
          <t/>
        </is>
      </c>
      <c r="L87" t="inlineStr">
        <is>
          <t/>
        </is>
      </c>
      <c r="M87" t="inlineStr">
        <is>
          <t/>
        </is>
      </c>
      <c r="N87" t="inlineStr">
        <is>
          <t/>
        </is>
      </c>
      <c r="O87" t="inlineStr">
        <is>
          <t/>
        </is>
      </c>
      <c r="P87" t="inlineStr">
        <is>
          <t/>
        </is>
      </c>
      <c r="Q87" t="inlineStr">
        <is>
          <t/>
        </is>
      </c>
      <c r="R87" t="inlineStr">
        <is>
          <t/>
        </is>
      </c>
      <c r="S87" t="inlineStr">
        <is>
          <t/>
        </is>
      </c>
      <c r="T87" t="inlineStr">
        <is>
          <t/>
        </is>
      </c>
      <c r="U87" t="inlineStr">
        <is>
          <t/>
        </is>
      </c>
      <c r="V87" t="inlineStr">
        <is>
          <t/>
        </is>
      </c>
      <c r="W87" t="inlineStr">
        <is>
          <t/>
        </is>
      </c>
      <c r="X87" t="inlineStr">
        <is>
          <t/>
        </is>
      </c>
      <c r="Y87" t="inlineStr">
        <is>
          <t/>
        </is>
      </c>
      <c r="Z87" t="inlineStr">
        <is>
          <t/>
        </is>
      </c>
      <c r="AA87" t="inlineStr">
        <is>
          <t/>
        </is>
      </c>
      <c r="AB87">
        <f>IF(D87="","",((D87-1)+(5-E87)+(F87-1)+(5-G87)+(H87-1)+(5-I87)+(J87-1)+(5-K87)+(L87-1)+(5-M87))*2.5)</f>
      </c>
      <c r="AC87">
        <f>IF(N87="","",AVERAGE(N87:S87))</f>
      </c>
      <c r="AD87">
        <f>IF(T87="","",AVERAGE(T87:W87))</f>
      </c>
      <c r="AE87">
        <f>IF(X87="","",AVERAGE(X87:AA87))</f>
      </c>
      <c r="AF87" t="inlineStr">
        <is>
          <t/>
        </is>
      </c>
    </row>
    <row r="88">
      <c r="A88" t="inlineStr">
        <is>
          <t/>
        </is>
      </c>
      <c r="B88" t="inlineStr">
        <is>
          <t/>
        </is>
      </c>
      <c r="C88" t="inlineStr">
        <is>
          <t/>
        </is>
      </c>
      <c r="D88" t="inlineStr">
        <is>
          <t/>
        </is>
      </c>
      <c r="E88" t="inlineStr">
        <is>
          <t/>
        </is>
      </c>
      <c r="F88" t="inlineStr">
        <is>
          <t/>
        </is>
      </c>
      <c r="G88" t="inlineStr">
        <is>
          <t/>
        </is>
      </c>
      <c r="H88" t="inlineStr">
        <is>
          <t/>
        </is>
      </c>
      <c r="I88" t="inlineStr">
        <is>
          <t/>
        </is>
      </c>
      <c r="J88" t="inlineStr">
        <is>
          <t/>
        </is>
      </c>
      <c r="K88" t="inlineStr">
        <is>
          <t/>
        </is>
      </c>
      <c r="L88" t="inlineStr">
        <is>
          <t/>
        </is>
      </c>
      <c r="M88" t="inlineStr">
        <is>
          <t/>
        </is>
      </c>
      <c r="N88" t="inlineStr">
        <is>
          <t/>
        </is>
      </c>
      <c r="O88" t="inlineStr">
        <is>
          <t/>
        </is>
      </c>
      <c r="P88" t="inlineStr">
        <is>
          <t/>
        </is>
      </c>
      <c r="Q88" t="inlineStr">
        <is>
          <t/>
        </is>
      </c>
      <c r="R88" t="inlineStr">
        <is>
          <t/>
        </is>
      </c>
      <c r="S88" t="inlineStr">
        <is>
          <t/>
        </is>
      </c>
      <c r="T88" t="inlineStr">
        <is>
          <t/>
        </is>
      </c>
      <c r="U88" t="inlineStr">
        <is>
          <t/>
        </is>
      </c>
      <c r="V88" t="inlineStr">
        <is>
          <t/>
        </is>
      </c>
      <c r="W88" t="inlineStr">
        <is>
          <t/>
        </is>
      </c>
      <c r="X88" t="inlineStr">
        <is>
          <t/>
        </is>
      </c>
      <c r="Y88" t="inlineStr">
        <is>
          <t/>
        </is>
      </c>
      <c r="Z88" t="inlineStr">
        <is>
          <t/>
        </is>
      </c>
      <c r="AA88" t="inlineStr">
        <is>
          <t/>
        </is>
      </c>
      <c r="AB88">
        <f>IF(D88="","",((D88-1)+(5-E88)+(F88-1)+(5-G88)+(H88-1)+(5-I88)+(J88-1)+(5-K88)+(L88-1)+(5-M88))*2.5)</f>
      </c>
      <c r="AC88">
        <f>IF(N88="","",AVERAGE(N88:S88))</f>
      </c>
      <c r="AD88">
        <f>IF(T88="","",AVERAGE(T88:W88))</f>
      </c>
      <c r="AE88">
        <f>IF(X88="","",AVERAGE(X88:AA88))</f>
      </c>
      <c r="AF88" t="inlineStr">
        <is>
          <t/>
        </is>
      </c>
    </row>
    <row r="89">
      <c r="A89" t="inlineStr">
        <is>
          <t/>
        </is>
      </c>
      <c r="B89" t="inlineStr">
        <is>
          <t/>
        </is>
      </c>
      <c r="C89" t="inlineStr">
        <is>
          <t/>
        </is>
      </c>
      <c r="D89" t="inlineStr">
        <is>
          <t/>
        </is>
      </c>
      <c r="E89" t="inlineStr">
        <is>
          <t/>
        </is>
      </c>
      <c r="F89" t="inlineStr">
        <is>
          <t/>
        </is>
      </c>
      <c r="G89" t="inlineStr">
        <is>
          <t/>
        </is>
      </c>
      <c r="H89" t="inlineStr">
        <is>
          <t/>
        </is>
      </c>
      <c r="I89" t="inlineStr">
        <is>
          <t/>
        </is>
      </c>
      <c r="J89" t="inlineStr">
        <is>
          <t/>
        </is>
      </c>
      <c r="K89" t="inlineStr">
        <is>
          <t/>
        </is>
      </c>
      <c r="L89" t="inlineStr">
        <is>
          <t/>
        </is>
      </c>
      <c r="M89" t="inlineStr">
        <is>
          <t/>
        </is>
      </c>
      <c r="N89" t="inlineStr">
        <is>
          <t/>
        </is>
      </c>
      <c r="O89" t="inlineStr">
        <is>
          <t/>
        </is>
      </c>
      <c r="P89" t="inlineStr">
        <is>
          <t/>
        </is>
      </c>
      <c r="Q89" t="inlineStr">
        <is>
          <t/>
        </is>
      </c>
      <c r="R89" t="inlineStr">
        <is>
          <t/>
        </is>
      </c>
      <c r="S89" t="inlineStr">
        <is>
          <t/>
        </is>
      </c>
      <c r="T89" t="inlineStr">
        <is>
          <t/>
        </is>
      </c>
      <c r="U89" t="inlineStr">
        <is>
          <t/>
        </is>
      </c>
      <c r="V89" t="inlineStr">
        <is>
          <t/>
        </is>
      </c>
      <c r="W89" t="inlineStr">
        <is>
          <t/>
        </is>
      </c>
      <c r="X89" t="inlineStr">
        <is>
          <t/>
        </is>
      </c>
      <c r="Y89" t="inlineStr">
        <is>
          <t/>
        </is>
      </c>
      <c r="Z89" t="inlineStr">
        <is>
          <t/>
        </is>
      </c>
      <c r="AA89" t="inlineStr">
        <is>
          <t/>
        </is>
      </c>
      <c r="AB89">
        <f>IF(D89="","",((D89-1)+(5-E89)+(F89-1)+(5-G89)+(H89-1)+(5-I89)+(J89-1)+(5-K89)+(L89-1)+(5-M89))*2.5)</f>
      </c>
      <c r="AC89">
        <f>IF(N89="","",AVERAGE(N89:S89))</f>
      </c>
      <c r="AD89">
        <f>IF(T89="","",AVERAGE(T89:W89))</f>
      </c>
      <c r="AE89">
        <f>IF(X89="","",AVERAGE(X89:AA89))</f>
      </c>
      <c r="AF89" t="inlineStr">
        <is>
          <t/>
        </is>
      </c>
    </row>
    <row r="90">
      <c r="A90" t="inlineStr">
        <is>
          <t/>
        </is>
      </c>
      <c r="B90" t="inlineStr">
        <is>
          <t/>
        </is>
      </c>
      <c r="C90" t="inlineStr">
        <is>
          <t/>
        </is>
      </c>
      <c r="D90" t="inlineStr">
        <is>
          <t/>
        </is>
      </c>
      <c r="E90" t="inlineStr">
        <is>
          <t/>
        </is>
      </c>
      <c r="F90" t="inlineStr">
        <is>
          <t/>
        </is>
      </c>
      <c r="G90" t="inlineStr">
        <is>
          <t/>
        </is>
      </c>
      <c r="H90" t="inlineStr">
        <is>
          <t/>
        </is>
      </c>
      <c r="I90" t="inlineStr">
        <is>
          <t/>
        </is>
      </c>
      <c r="J90" t="inlineStr">
        <is>
          <t/>
        </is>
      </c>
      <c r="K90" t="inlineStr">
        <is>
          <t/>
        </is>
      </c>
      <c r="L90" t="inlineStr">
        <is>
          <t/>
        </is>
      </c>
      <c r="M90" t="inlineStr">
        <is>
          <t/>
        </is>
      </c>
      <c r="N90" t="inlineStr">
        <is>
          <t/>
        </is>
      </c>
      <c r="O90" t="inlineStr">
        <is>
          <t/>
        </is>
      </c>
      <c r="P90" t="inlineStr">
        <is>
          <t/>
        </is>
      </c>
      <c r="Q90" t="inlineStr">
        <is>
          <t/>
        </is>
      </c>
      <c r="R90" t="inlineStr">
        <is>
          <t/>
        </is>
      </c>
      <c r="S90" t="inlineStr">
        <is>
          <t/>
        </is>
      </c>
      <c r="T90" t="inlineStr">
        <is>
          <t/>
        </is>
      </c>
      <c r="U90" t="inlineStr">
        <is>
          <t/>
        </is>
      </c>
      <c r="V90" t="inlineStr">
        <is>
          <t/>
        </is>
      </c>
      <c r="W90" t="inlineStr">
        <is>
          <t/>
        </is>
      </c>
      <c r="X90" t="inlineStr">
        <is>
          <t/>
        </is>
      </c>
      <c r="Y90" t="inlineStr">
        <is>
          <t/>
        </is>
      </c>
      <c r="Z90" t="inlineStr">
        <is>
          <t/>
        </is>
      </c>
      <c r="AA90" t="inlineStr">
        <is>
          <t/>
        </is>
      </c>
      <c r="AB90">
        <f>IF(D90="","",((D90-1)+(5-E90)+(F90-1)+(5-G90)+(H90-1)+(5-I90)+(J90-1)+(5-K90)+(L90-1)+(5-M90))*2.5)</f>
      </c>
      <c r="AC90">
        <f>IF(N90="","",AVERAGE(N90:S90))</f>
      </c>
      <c r="AD90">
        <f>IF(T90="","",AVERAGE(T90:W90))</f>
      </c>
      <c r="AE90">
        <f>IF(X90="","",AVERAGE(X90:AA90))</f>
      </c>
      <c r="AF90" t="inlineStr">
        <is>
          <t/>
        </is>
      </c>
    </row>
    <row r="91">
      <c r="A91" t="inlineStr">
        <is>
          <t/>
        </is>
      </c>
      <c r="B91" t="inlineStr">
        <is>
          <t/>
        </is>
      </c>
      <c r="C91" t="inlineStr">
        <is>
          <t/>
        </is>
      </c>
      <c r="D91" t="inlineStr">
        <is>
          <t/>
        </is>
      </c>
      <c r="E91" t="inlineStr">
        <is>
          <t/>
        </is>
      </c>
      <c r="F91" t="inlineStr">
        <is>
          <t/>
        </is>
      </c>
      <c r="G91" t="inlineStr">
        <is>
          <t/>
        </is>
      </c>
      <c r="H91" t="inlineStr">
        <is>
          <t/>
        </is>
      </c>
      <c r="I91" t="inlineStr">
        <is>
          <t/>
        </is>
      </c>
      <c r="J91" t="inlineStr">
        <is>
          <t/>
        </is>
      </c>
      <c r="K91" t="inlineStr">
        <is>
          <t/>
        </is>
      </c>
      <c r="L91" t="inlineStr">
        <is>
          <t/>
        </is>
      </c>
      <c r="M91" t="inlineStr">
        <is>
          <t/>
        </is>
      </c>
      <c r="N91" t="inlineStr">
        <is>
          <t/>
        </is>
      </c>
      <c r="O91" t="inlineStr">
        <is>
          <t/>
        </is>
      </c>
      <c r="P91" t="inlineStr">
        <is>
          <t/>
        </is>
      </c>
      <c r="Q91" t="inlineStr">
        <is>
          <t/>
        </is>
      </c>
      <c r="R91" t="inlineStr">
        <is>
          <t/>
        </is>
      </c>
      <c r="S91" t="inlineStr">
        <is>
          <t/>
        </is>
      </c>
      <c r="T91" t="inlineStr">
        <is>
          <t/>
        </is>
      </c>
      <c r="U91" t="inlineStr">
        <is>
          <t/>
        </is>
      </c>
      <c r="V91" t="inlineStr">
        <is>
          <t/>
        </is>
      </c>
      <c r="W91" t="inlineStr">
        <is>
          <t/>
        </is>
      </c>
      <c r="X91" t="inlineStr">
        <is>
          <t/>
        </is>
      </c>
      <c r="Y91" t="inlineStr">
        <is>
          <t/>
        </is>
      </c>
      <c r="Z91" t="inlineStr">
        <is>
          <t/>
        </is>
      </c>
      <c r="AA91" t="inlineStr">
        <is>
          <t/>
        </is>
      </c>
      <c r="AB91">
        <f>IF(D91="","",((D91-1)+(5-E91)+(F91-1)+(5-G91)+(H91-1)+(5-I91)+(J91-1)+(5-K91)+(L91-1)+(5-M91))*2.5)</f>
      </c>
      <c r="AC91">
        <f>IF(N91="","",AVERAGE(N91:S91))</f>
      </c>
      <c r="AD91">
        <f>IF(T91="","",AVERAGE(T91:W91))</f>
      </c>
      <c r="AE91">
        <f>IF(X91="","",AVERAGE(X91:AA91))</f>
      </c>
      <c r="AF91" t="inlineStr">
        <is>
          <t/>
        </is>
      </c>
    </row>
    <row r="92">
      <c r="A92" t="inlineStr">
        <is>
          <t/>
        </is>
      </c>
      <c r="B92" t="inlineStr">
        <is>
          <t/>
        </is>
      </c>
      <c r="C92" t="inlineStr">
        <is>
          <t/>
        </is>
      </c>
      <c r="D92" t="inlineStr">
        <is>
          <t/>
        </is>
      </c>
      <c r="E92" t="inlineStr">
        <is>
          <t/>
        </is>
      </c>
      <c r="F92" t="inlineStr">
        <is>
          <t/>
        </is>
      </c>
      <c r="G92" t="inlineStr">
        <is>
          <t/>
        </is>
      </c>
      <c r="H92" t="inlineStr">
        <is>
          <t/>
        </is>
      </c>
      <c r="I92" t="inlineStr">
        <is>
          <t/>
        </is>
      </c>
      <c r="J92" t="inlineStr">
        <is>
          <t/>
        </is>
      </c>
      <c r="K92" t="inlineStr">
        <is>
          <t/>
        </is>
      </c>
      <c r="L92" t="inlineStr">
        <is>
          <t/>
        </is>
      </c>
      <c r="M92" t="inlineStr">
        <is>
          <t/>
        </is>
      </c>
      <c r="N92" t="inlineStr">
        <is>
          <t/>
        </is>
      </c>
      <c r="O92" t="inlineStr">
        <is>
          <t/>
        </is>
      </c>
      <c r="P92" t="inlineStr">
        <is>
          <t/>
        </is>
      </c>
      <c r="Q92" t="inlineStr">
        <is>
          <t/>
        </is>
      </c>
      <c r="R92" t="inlineStr">
        <is>
          <t/>
        </is>
      </c>
      <c r="S92" t="inlineStr">
        <is>
          <t/>
        </is>
      </c>
      <c r="T92" t="inlineStr">
        <is>
          <t/>
        </is>
      </c>
      <c r="U92" t="inlineStr">
        <is>
          <t/>
        </is>
      </c>
      <c r="V92" t="inlineStr">
        <is>
          <t/>
        </is>
      </c>
      <c r="W92" t="inlineStr">
        <is>
          <t/>
        </is>
      </c>
      <c r="X92" t="inlineStr">
        <is>
          <t/>
        </is>
      </c>
      <c r="Y92" t="inlineStr">
        <is>
          <t/>
        </is>
      </c>
      <c r="Z92" t="inlineStr">
        <is>
          <t/>
        </is>
      </c>
      <c r="AA92" t="inlineStr">
        <is>
          <t/>
        </is>
      </c>
      <c r="AB92">
        <f>IF(D92="","",((D92-1)+(5-E92)+(F92-1)+(5-G92)+(H92-1)+(5-I92)+(J92-1)+(5-K92)+(L92-1)+(5-M92))*2.5)</f>
      </c>
      <c r="AC92">
        <f>IF(N92="","",AVERAGE(N92:S92))</f>
      </c>
      <c r="AD92">
        <f>IF(T92="","",AVERAGE(T92:W92))</f>
      </c>
      <c r="AE92">
        <f>IF(X92="","",AVERAGE(X92:AA92))</f>
      </c>
      <c r="AF92" t="inlineStr">
        <is>
          <t/>
        </is>
      </c>
    </row>
    <row r="93">
      <c r="A93" t="inlineStr">
        <is>
          <t/>
        </is>
      </c>
      <c r="B93" t="inlineStr">
        <is>
          <t/>
        </is>
      </c>
      <c r="C93" t="inlineStr">
        <is>
          <t/>
        </is>
      </c>
      <c r="D93" t="inlineStr">
        <is>
          <t/>
        </is>
      </c>
      <c r="E93" t="inlineStr">
        <is>
          <t/>
        </is>
      </c>
      <c r="F93" t="inlineStr">
        <is>
          <t/>
        </is>
      </c>
      <c r="G93" t="inlineStr">
        <is>
          <t/>
        </is>
      </c>
      <c r="H93" t="inlineStr">
        <is>
          <t/>
        </is>
      </c>
      <c r="I93" t="inlineStr">
        <is>
          <t/>
        </is>
      </c>
      <c r="J93" t="inlineStr">
        <is>
          <t/>
        </is>
      </c>
      <c r="K93" t="inlineStr">
        <is>
          <t/>
        </is>
      </c>
      <c r="L93" t="inlineStr">
        <is>
          <t/>
        </is>
      </c>
      <c r="M93" t="inlineStr">
        <is>
          <t/>
        </is>
      </c>
      <c r="N93" t="inlineStr">
        <is>
          <t/>
        </is>
      </c>
      <c r="O93" t="inlineStr">
        <is>
          <t/>
        </is>
      </c>
      <c r="P93" t="inlineStr">
        <is>
          <t/>
        </is>
      </c>
      <c r="Q93" t="inlineStr">
        <is>
          <t/>
        </is>
      </c>
      <c r="R93" t="inlineStr">
        <is>
          <t/>
        </is>
      </c>
      <c r="S93" t="inlineStr">
        <is>
          <t/>
        </is>
      </c>
      <c r="T93" t="inlineStr">
        <is>
          <t/>
        </is>
      </c>
      <c r="U93" t="inlineStr">
        <is>
          <t/>
        </is>
      </c>
      <c r="V93" t="inlineStr">
        <is>
          <t/>
        </is>
      </c>
      <c r="W93" t="inlineStr">
        <is>
          <t/>
        </is>
      </c>
      <c r="X93" t="inlineStr">
        <is>
          <t/>
        </is>
      </c>
      <c r="Y93" t="inlineStr">
        <is>
          <t/>
        </is>
      </c>
      <c r="Z93" t="inlineStr">
        <is>
          <t/>
        </is>
      </c>
      <c r="AA93" t="inlineStr">
        <is>
          <t/>
        </is>
      </c>
      <c r="AB93">
        <f>IF(D93="","",((D93-1)+(5-E93)+(F93-1)+(5-G93)+(H93-1)+(5-I93)+(J93-1)+(5-K93)+(L93-1)+(5-M93))*2.5)</f>
      </c>
      <c r="AC93">
        <f>IF(N93="","",AVERAGE(N93:S93))</f>
      </c>
      <c r="AD93">
        <f>IF(T93="","",AVERAGE(T93:W93))</f>
      </c>
      <c r="AE93">
        <f>IF(X93="","",AVERAGE(X93:AA93))</f>
      </c>
      <c r="AF93" t="inlineStr">
        <is>
          <t/>
        </is>
      </c>
    </row>
    <row r="94">
      <c r="A94" t="inlineStr">
        <is>
          <t/>
        </is>
      </c>
      <c r="B94" t="inlineStr">
        <is>
          <t/>
        </is>
      </c>
      <c r="C94" t="inlineStr">
        <is>
          <t/>
        </is>
      </c>
      <c r="D94" t="inlineStr">
        <is>
          <t/>
        </is>
      </c>
      <c r="E94" t="inlineStr">
        <is>
          <t/>
        </is>
      </c>
      <c r="F94" t="inlineStr">
        <is>
          <t/>
        </is>
      </c>
      <c r="G94" t="inlineStr">
        <is>
          <t/>
        </is>
      </c>
      <c r="H94" t="inlineStr">
        <is>
          <t/>
        </is>
      </c>
      <c r="I94" t="inlineStr">
        <is>
          <t/>
        </is>
      </c>
      <c r="J94" t="inlineStr">
        <is>
          <t/>
        </is>
      </c>
      <c r="K94" t="inlineStr">
        <is>
          <t/>
        </is>
      </c>
      <c r="L94" t="inlineStr">
        <is>
          <t/>
        </is>
      </c>
      <c r="M94" t="inlineStr">
        <is>
          <t/>
        </is>
      </c>
      <c r="N94" t="inlineStr">
        <is>
          <t/>
        </is>
      </c>
      <c r="O94" t="inlineStr">
        <is>
          <t/>
        </is>
      </c>
      <c r="P94" t="inlineStr">
        <is>
          <t/>
        </is>
      </c>
      <c r="Q94" t="inlineStr">
        <is>
          <t/>
        </is>
      </c>
      <c r="R94" t="inlineStr">
        <is>
          <t/>
        </is>
      </c>
      <c r="S94" t="inlineStr">
        <is>
          <t/>
        </is>
      </c>
      <c r="T94" t="inlineStr">
        <is>
          <t/>
        </is>
      </c>
      <c r="U94" t="inlineStr">
        <is>
          <t/>
        </is>
      </c>
      <c r="V94" t="inlineStr">
        <is>
          <t/>
        </is>
      </c>
      <c r="W94" t="inlineStr">
        <is>
          <t/>
        </is>
      </c>
      <c r="X94" t="inlineStr">
        <is>
          <t/>
        </is>
      </c>
      <c r="Y94" t="inlineStr">
        <is>
          <t/>
        </is>
      </c>
      <c r="Z94" t="inlineStr">
        <is>
          <t/>
        </is>
      </c>
      <c r="AA94" t="inlineStr">
        <is>
          <t/>
        </is>
      </c>
      <c r="AB94">
        <f>IF(D94="","",((D94-1)+(5-E94)+(F94-1)+(5-G94)+(H94-1)+(5-I94)+(J94-1)+(5-K94)+(L94-1)+(5-M94))*2.5)</f>
      </c>
      <c r="AC94">
        <f>IF(N94="","",AVERAGE(N94:S94))</f>
      </c>
      <c r="AD94">
        <f>IF(T94="","",AVERAGE(T94:W94))</f>
      </c>
      <c r="AE94">
        <f>IF(X94="","",AVERAGE(X94:AA94))</f>
      </c>
      <c r="AF94" t="inlineStr">
        <is>
          <t/>
        </is>
      </c>
    </row>
    <row r="95">
      <c r="A95" t="inlineStr">
        <is>
          <t/>
        </is>
      </c>
      <c r="B95" t="inlineStr">
        <is>
          <t/>
        </is>
      </c>
      <c r="C95" t="inlineStr">
        <is>
          <t/>
        </is>
      </c>
      <c r="D95" t="inlineStr">
        <is>
          <t/>
        </is>
      </c>
      <c r="E95" t="inlineStr">
        <is>
          <t/>
        </is>
      </c>
      <c r="F95" t="inlineStr">
        <is>
          <t/>
        </is>
      </c>
      <c r="G95" t="inlineStr">
        <is>
          <t/>
        </is>
      </c>
      <c r="H95" t="inlineStr">
        <is>
          <t/>
        </is>
      </c>
      <c r="I95" t="inlineStr">
        <is>
          <t/>
        </is>
      </c>
      <c r="J95" t="inlineStr">
        <is>
          <t/>
        </is>
      </c>
      <c r="K95" t="inlineStr">
        <is>
          <t/>
        </is>
      </c>
      <c r="L95" t="inlineStr">
        <is>
          <t/>
        </is>
      </c>
      <c r="M95" t="inlineStr">
        <is>
          <t/>
        </is>
      </c>
      <c r="N95" t="inlineStr">
        <is>
          <t/>
        </is>
      </c>
      <c r="O95" t="inlineStr">
        <is>
          <t/>
        </is>
      </c>
      <c r="P95" t="inlineStr">
        <is>
          <t/>
        </is>
      </c>
      <c r="Q95" t="inlineStr">
        <is>
          <t/>
        </is>
      </c>
      <c r="R95" t="inlineStr">
        <is>
          <t/>
        </is>
      </c>
      <c r="S95" t="inlineStr">
        <is>
          <t/>
        </is>
      </c>
      <c r="T95" t="inlineStr">
        <is>
          <t/>
        </is>
      </c>
      <c r="U95" t="inlineStr">
        <is>
          <t/>
        </is>
      </c>
      <c r="V95" t="inlineStr">
        <is>
          <t/>
        </is>
      </c>
      <c r="W95" t="inlineStr">
        <is>
          <t/>
        </is>
      </c>
      <c r="X95" t="inlineStr">
        <is>
          <t/>
        </is>
      </c>
      <c r="Y95" t="inlineStr">
        <is>
          <t/>
        </is>
      </c>
      <c r="Z95" t="inlineStr">
        <is>
          <t/>
        </is>
      </c>
      <c r="AA95" t="inlineStr">
        <is>
          <t/>
        </is>
      </c>
      <c r="AB95">
        <f>IF(D95="","",((D95-1)+(5-E95)+(F95-1)+(5-G95)+(H95-1)+(5-I95)+(J95-1)+(5-K95)+(L95-1)+(5-M95))*2.5)</f>
      </c>
      <c r="AC95">
        <f>IF(N95="","",AVERAGE(N95:S95))</f>
      </c>
      <c r="AD95">
        <f>IF(T95="","",AVERAGE(T95:W95))</f>
      </c>
      <c r="AE95">
        <f>IF(X95="","",AVERAGE(X95:AA95))</f>
      </c>
      <c r="AF95" t="inlineStr">
        <is>
          <t/>
        </is>
      </c>
    </row>
    <row r="96">
      <c r="A96" t="inlineStr">
        <is>
          <t/>
        </is>
      </c>
      <c r="B96" t="inlineStr">
        <is>
          <t/>
        </is>
      </c>
      <c r="C96" t="inlineStr">
        <is>
          <t/>
        </is>
      </c>
      <c r="D96" t="inlineStr">
        <is>
          <t/>
        </is>
      </c>
      <c r="E96" t="inlineStr">
        <is>
          <t/>
        </is>
      </c>
      <c r="F96" t="inlineStr">
        <is>
          <t/>
        </is>
      </c>
      <c r="G96" t="inlineStr">
        <is>
          <t/>
        </is>
      </c>
      <c r="H96" t="inlineStr">
        <is>
          <t/>
        </is>
      </c>
      <c r="I96" t="inlineStr">
        <is>
          <t/>
        </is>
      </c>
      <c r="J96" t="inlineStr">
        <is>
          <t/>
        </is>
      </c>
      <c r="K96" t="inlineStr">
        <is>
          <t/>
        </is>
      </c>
      <c r="L96" t="inlineStr">
        <is>
          <t/>
        </is>
      </c>
      <c r="M96" t="inlineStr">
        <is>
          <t/>
        </is>
      </c>
      <c r="N96" t="inlineStr">
        <is>
          <t/>
        </is>
      </c>
      <c r="O96" t="inlineStr">
        <is>
          <t/>
        </is>
      </c>
      <c r="P96" t="inlineStr">
        <is>
          <t/>
        </is>
      </c>
      <c r="Q96" t="inlineStr">
        <is>
          <t/>
        </is>
      </c>
      <c r="R96" t="inlineStr">
        <is>
          <t/>
        </is>
      </c>
      <c r="S96" t="inlineStr">
        <is>
          <t/>
        </is>
      </c>
      <c r="T96" t="inlineStr">
        <is>
          <t/>
        </is>
      </c>
      <c r="U96" t="inlineStr">
        <is>
          <t/>
        </is>
      </c>
      <c r="V96" t="inlineStr">
        <is>
          <t/>
        </is>
      </c>
      <c r="W96" t="inlineStr">
        <is>
          <t/>
        </is>
      </c>
      <c r="X96" t="inlineStr">
        <is>
          <t/>
        </is>
      </c>
      <c r="Y96" t="inlineStr">
        <is>
          <t/>
        </is>
      </c>
      <c r="Z96" t="inlineStr">
        <is>
          <t/>
        </is>
      </c>
      <c r="AA96" t="inlineStr">
        <is>
          <t/>
        </is>
      </c>
      <c r="AB96">
        <f>IF(D96="","",((D96-1)+(5-E96)+(F96-1)+(5-G96)+(H96-1)+(5-I96)+(J96-1)+(5-K96)+(L96-1)+(5-M96))*2.5)</f>
      </c>
      <c r="AC96">
        <f>IF(N96="","",AVERAGE(N96:S96))</f>
      </c>
      <c r="AD96">
        <f>IF(T96="","",AVERAGE(T96:W96))</f>
      </c>
      <c r="AE96">
        <f>IF(X96="","",AVERAGE(X96:AA96))</f>
      </c>
      <c r="AF96" t="inlineStr">
        <is>
          <t/>
        </is>
      </c>
    </row>
    <row r="97">
      <c r="A97" t="inlineStr">
        <is>
          <t/>
        </is>
      </c>
      <c r="B97" t="inlineStr">
        <is>
          <t/>
        </is>
      </c>
      <c r="C97" t="inlineStr">
        <is>
          <t/>
        </is>
      </c>
      <c r="D97" t="inlineStr">
        <is>
          <t/>
        </is>
      </c>
      <c r="E97" t="inlineStr">
        <is>
          <t/>
        </is>
      </c>
      <c r="F97" t="inlineStr">
        <is>
          <t/>
        </is>
      </c>
      <c r="G97" t="inlineStr">
        <is>
          <t/>
        </is>
      </c>
      <c r="H97" t="inlineStr">
        <is>
          <t/>
        </is>
      </c>
      <c r="I97" t="inlineStr">
        <is>
          <t/>
        </is>
      </c>
      <c r="J97" t="inlineStr">
        <is>
          <t/>
        </is>
      </c>
      <c r="K97" t="inlineStr">
        <is>
          <t/>
        </is>
      </c>
      <c r="L97" t="inlineStr">
        <is>
          <t/>
        </is>
      </c>
      <c r="M97" t="inlineStr">
        <is>
          <t/>
        </is>
      </c>
      <c r="N97" t="inlineStr">
        <is>
          <t/>
        </is>
      </c>
      <c r="O97" t="inlineStr">
        <is>
          <t/>
        </is>
      </c>
      <c r="P97" t="inlineStr">
        <is>
          <t/>
        </is>
      </c>
      <c r="Q97" t="inlineStr">
        <is>
          <t/>
        </is>
      </c>
      <c r="R97" t="inlineStr">
        <is>
          <t/>
        </is>
      </c>
      <c r="S97" t="inlineStr">
        <is>
          <t/>
        </is>
      </c>
      <c r="T97" t="inlineStr">
        <is>
          <t/>
        </is>
      </c>
      <c r="U97" t="inlineStr">
        <is>
          <t/>
        </is>
      </c>
      <c r="V97" t="inlineStr">
        <is>
          <t/>
        </is>
      </c>
      <c r="W97" t="inlineStr">
        <is>
          <t/>
        </is>
      </c>
      <c r="X97" t="inlineStr">
        <is>
          <t/>
        </is>
      </c>
      <c r="Y97" t="inlineStr">
        <is>
          <t/>
        </is>
      </c>
      <c r="Z97" t="inlineStr">
        <is>
          <t/>
        </is>
      </c>
      <c r="AA97" t="inlineStr">
        <is>
          <t/>
        </is>
      </c>
      <c r="AB97">
        <f>IF(D97="","",((D97-1)+(5-E97)+(F97-1)+(5-G97)+(H97-1)+(5-I97)+(J97-1)+(5-K97)+(L97-1)+(5-M97))*2.5)</f>
      </c>
      <c r="AC97">
        <f>IF(N97="","",AVERAGE(N97:S97))</f>
      </c>
      <c r="AD97">
        <f>IF(T97="","",AVERAGE(T97:W97))</f>
      </c>
      <c r="AE97">
        <f>IF(X97="","",AVERAGE(X97:AA97))</f>
      </c>
      <c r="AF97" t="inlineStr">
        <is>
          <t/>
        </is>
      </c>
    </row>
    <row r="98">
      <c r="A98" t="inlineStr">
        <is>
          <t/>
        </is>
      </c>
      <c r="B98" t="inlineStr">
        <is>
          <t/>
        </is>
      </c>
      <c r="C98" t="inlineStr">
        <is>
          <t/>
        </is>
      </c>
      <c r="D98" t="inlineStr">
        <is>
          <t/>
        </is>
      </c>
      <c r="E98" t="inlineStr">
        <is>
          <t/>
        </is>
      </c>
      <c r="F98" t="inlineStr">
        <is>
          <t/>
        </is>
      </c>
      <c r="G98" t="inlineStr">
        <is>
          <t/>
        </is>
      </c>
      <c r="H98" t="inlineStr">
        <is>
          <t/>
        </is>
      </c>
      <c r="I98" t="inlineStr">
        <is>
          <t/>
        </is>
      </c>
      <c r="J98" t="inlineStr">
        <is>
          <t/>
        </is>
      </c>
      <c r="K98" t="inlineStr">
        <is>
          <t/>
        </is>
      </c>
      <c r="L98" t="inlineStr">
        <is>
          <t/>
        </is>
      </c>
      <c r="M98" t="inlineStr">
        <is>
          <t/>
        </is>
      </c>
      <c r="N98" t="inlineStr">
        <is>
          <t/>
        </is>
      </c>
      <c r="O98" t="inlineStr">
        <is>
          <t/>
        </is>
      </c>
      <c r="P98" t="inlineStr">
        <is>
          <t/>
        </is>
      </c>
      <c r="Q98" t="inlineStr">
        <is>
          <t/>
        </is>
      </c>
      <c r="R98" t="inlineStr">
        <is>
          <t/>
        </is>
      </c>
      <c r="S98" t="inlineStr">
        <is>
          <t/>
        </is>
      </c>
      <c r="T98" t="inlineStr">
        <is>
          <t/>
        </is>
      </c>
      <c r="U98" t="inlineStr">
        <is>
          <t/>
        </is>
      </c>
      <c r="V98" t="inlineStr">
        <is>
          <t/>
        </is>
      </c>
      <c r="W98" t="inlineStr">
        <is>
          <t/>
        </is>
      </c>
      <c r="X98" t="inlineStr">
        <is>
          <t/>
        </is>
      </c>
      <c r="Y98" t="inlineStr">
        <is>
          <t/>
        </is>
      </c>
      <c r="Z98" t="inlineStr">
        <is>
          <t/>
        </is>
      </c>
      <c r="AA98" t="inlineStr">
        <is>
          <t/>
        </is>
      </c>
      <c r="AB98">
        <f>IF(D98="","",((D98-1)+(5-E98)+(F98-1)+(5-G98)+(H98-1)+(5-I98)+(J98-1)+(5-K98)+(L98-1)+(5-M98))*2.5)</f>
      </c>
      <c r="AC98">
        <f>IF(N98="","",AVERAGE(N98:S98))</f>
      </c>
      <c r="AD98">
        <f>IF(T98="","",AVERAGE(T98:W98))</f>
      </c>
      <c r="AE98">
        <f>IF(X98="","",AVERAGE(X98:AA98))</f>
      </c>
      <c r="AF98" t="inlineStr">
        <is>
          <t/>
        </is>
      </c>
    </row>
    <row r="99">
      <c r="A99" t="inlineStr">
        <is>
          <t/>
        </is>
      </c>
      <c r="B99" t="inlineStr">
        <is>
          <t/>
        </is>
      </c>
      <c r="C99" t="inlineStr">
        <is>
          <t/>
        </is>
      </c>
      <c r="D99" t="inlineStr">
        <is>
          <t/>
        </is>
      </c>
      <c r="E99" t="inlineStr">
        <is>
          <t/>
        </is>
      </c>
      <c r="F99" t="inlineStr">
        <is>
          <t/>
        </is>
      </c>
      <c r="G99" t="inlineStr">
        <is>
          <t/>
        </is>
      </c>
      <c r="H99" t="inlineStr">
        <is>
          <t/>
        </is>
      </c>
      <c r="I99" t="inlineStr">
        <is>
          <t/>
        </is>
      </c>
      <c r="J99" t="inlineStr">
        <is>
          <t/>
        </is>
      </c>
      <c r="K99" t="inlineStr">
        <is>
          <t/>
        </is>
      </c>
      <c r="L99" t="inlineStr">
        <is>
          <t/>
        </is>
      </c>
      <c r="M99" t="inlineStr">
        <is>
          <t/>
        </is>
      </c>
      <c r="N99" t="inlineStr">
        <is>
          <t/>
        </is>
      </c>
      <c r="O99" t="inlineStr">
        <is>
          <t/>
        </is>
      </c>
      <c r="P99" t="inlineStr">
        <is>
          <t/>
        </is>
      </c>
      <c r="Q99" t="inlineStr">
        <is>
          <t/>
        </is>
      </c>
      <c r="R99" t="inlineStr">
        <is>
          <t/>
        </is>
      </c>
      <c r="S99" t="inlineStr">
        <is>
          <t/>
        </is>
      </c>
      <c r="T99" t="inlineStr">
        <is>
          <t/>
        </is>
      </c>
      <c r="U99" t="inlineStr">
        <is>
          <t/>
        </is>
      </c>
      <c r="V99" t="inlineStr">
        <is>
          <t/>
        </is>
      </c>
      <c r="W99" t="inlineStr">
        <is>
          <t/>
        </is>
      </c>
      <c r="X99" t="inlineStr">
        <is>
          <t/>
        </is>
      </c>
      <c r="Y99" t="inlineStr">
        <is>
          <t/>
        </is>
      </c>
      <c r="Z99" t="inlineStr">
        <is>
          <t/>
        </is>
      </c>
      <c r="AA99" t="inlineStr">
        <is>
          <t/>
        </is>
      </c>
      <c r="AB99">
        <f>IF(D99="","",((D99-1)+(5-E99)+(F99-1)+(5-G99)+(H99-1)+(5-I99)+(J99-1)+(5-K99)+(L99-1)+(5-M99))*2.5)</f>
      </c>
      <c r="AC99">
        <f>IF(N99="","",AVERAGE(N99:S99))</f>
      </c>
      <c r="AD99">
        <f>IF(T99="","",AVERAGE(T99:W99))</f>
      </c>
      <c r="AE99">
        <f>IF(X99="","",AVERAGE(X99:AA99))</f>
      </c>
      <c r="AF99" t="inlineStr">
        <is>
          <t/>
        </is>
      </c>
    </row>
    <row r="100">
      <c r="A100" t="inlineStr">
        <is>
          <t/>
        </is>
      </c>
      <c r="B100" t="inlineStr">
        <is>
          <t/>
        </is>
      </c>
      <c r="C100" t="inlineStr">
        <is>
          <t/>
        </is>
      </c>
      <c r="D100" t="inlineStr">
        <is>
          <t/>
        </is>
      </c>
      <c r="E100" t="inlineStr">
        <is>
          <t/>
        </is>
      </c>
      <c r="F100" t="inlineStr">
        <is>
          <t/>
        </is>
      </c>
      <c r="G100" t="inlineStr">
        <is>
          <t/>
        </is>
      </c>
      <c r="H100" t="inlineStr">
        <is>
          <t/>
        </is>
      </c>
      <c r="I100" t="inlineStr">
        <is>
          <t/>
        </is>
      </c>
      <c r="J100" t="inlineStr">
        <is>
          <t/>
        </is>
      </c>
      <c r="K100" t="inlineStr">
        <is>
          <t/>
        </is>
      </c>
      <c r="L100" t="inlineStr">
        <is>
          <t/>
        </is>
      </c>
      <c r="M100" t="inlineStr">
        <is>
          <t/>
        </is>
      </c>
      <c r="N100" t="inlineStr">
        <is>
          <t/>
        </is>
      </c>
      <c r="O100" t="inlineStr">
        <is>
          <t/>
        </is>
      </c>
      <c r="P100" t="inlineStr">
        <is>
          <t/>
        </is>
      </c>
      <c r="Q100" t="inlineStr">
        <is>
          <t/>
        </is>
      </c>
      <c r="R100" t="inlineStr">
        <is>
          <t/>
        </is>
      </c>
      <c r="S100" t="inlineStr">
        <is>
          <t/>
        </is>
      </c>
      <c r="T100" t="inlineStr">
        <is>
          <t/>
        </is>
      </c>
      <c r="U100" t="inlineStr">
        <is>
          <t/>
        </is>
      </c>
      <c r="V100" t="inlineStr">
        <is>
          <t/>
        </is>
      </c>
      <c r="W100" t="inlineStr">
        <is>
          <t/>
        </is>
      </c>
      <c r="X100" t="inlineStr">
        <is>
          <t/>
        </is>
      </c>
      <c r="Y100" t="inlineStr">
        <is>
          <t/>
        </is>
      </c>
      <c r="Z100" t="inlineStr">
        <is>
          <t/>
        </is>
      </c>
      <c r="AA100" t="inlineStr">
        <is>
          <t/>
        </is>
      </c>
      <c r="AB100">
        <f>IF(D100="","",((D100-1)+(5-E100)+(F100-1)+(5-G100)+(H100-1)+(5-I100)+(J100-1)+(5-K100)+(L100-1)+(5-M100))*2.5)</f>
      </c>
      <c r="AC100">
        <f>IF(N100="","",AVERAGE(N100:S100))</f>
      </c>
      <c r="AD100">
        <f>IF(T100="","",AVERAGE(T100:W100))</f>
      </c>
      <c r="AE100">
        <f>IF(X100="","",AVERAGE(X100:AA100))</f>
      </c>
      <c r="AF100" t="inlineStr">
        <is>
          <t/>
        </is>
      </c>
    </row>
    <row r="101">
      <c r="A101" t="inlineStr">
        <is>
          <t/>
        </is>
      </c>
      <c r="B101" t="inlineStr">
        <is>
          <t/>
        </is>
      </c>
      <c r="C101" t="inlineStr">
        <is>
          <t/>
        </is>
      </c>
      <c r="D101" t="inlineStr">
        <is>
          <t/>
        </is>
      </c>
      <c r="E101" t="inlineStr">
        <is>
          <t/>
        </is>
      </c>
      <c r="F101" t="inlineStr">
        <is>
          <t/>
        </is>
      </c>
      <c r="G101" t="inlineStr">
        <is>
          <t/>
        </is>
      </c>
      <c r="H101" t="inlineStr">
        <is>
          <t/>
        </is>
      </c>
      <c r="I101" t="inlineStr">
        <is>
          <t/>
        </is>
      </c>
      <c r="J101" t="inlineStr">
        <is>
          <t/>
        </is>
      </c>
      <c r="K101" t="inlineStr">
        <is>
          <t/>
        </is>
      </c>
      <c r="L101" t="inlineStr">
        <is>
          <t/>
        </is>
      </c>
      <c r="M101" t="inlineStr">
        <is>
          <t/>
        </is>
      </c>
      <c r="N101" t="inlineStr">
        <is>
          <t/>
        </is>
      </c>
      <c r="O101" t="inlineStr">
        <is>
          <t/>
        </is>
      </c>
      <c r="P101" t="inlineStr">
        <is>
          <t/>
        </is>
      </c>
      <c r="Q101" t="inlineStr">
        <is>
          <t/>
        </is>
      </c>
      <c r="R101" t="inlineStr">
        <is>
          <t/>
        </is>
      </c>
      <c r="S101" t="inlineStr">
        <is>
          <t/>
        </is>
      </c>
      <c r="T101" t="inlineStr">
        <is>
          <t/>
        </is>
      </c>
      <c r="U101" t="inlineStr">
        <is>
          <t/>
        </is>
      </c>
      <c r="V101" t="inlineStr">
        <is>
          <t/>
        </is>
      </c>
      <c r="W101" t="inlineStr">
        <is>
          <t/>
        </is>
      </c>
      <c r="X101" t="inlineStr">
        <is>
          <t/>
        </is>
      </c>
      <c r="Y101" t="inlineStr">
        <is>
          <t/>
        </is>
      </c>
      <c r="Z101" t="inlineStr">
        <is>
          <t/>
        </is>
      </c>
      <c r="AA101" t="inlineStr">
        <is>
          <t/>
        </is>
      </c>
      <c r="AB101">
        <f>IF(D101="","",((D101-1)+(5-E101)+(F101-1)+(5-G101)+(H101-1)+(5-I101)+(J101-1)+(5-K101)+(L101-1)+(5-M101))*2.5)</f>
      </c>
      <c r="AC101">
        <f>IF(N101="","",AVERAGE(N101:S101))</f>
      </c>
      <c r="AD101">
        <f>IF(T101="","",AVERAGE(T101:W101))</f>
      </c>
      <c r="AE101">
        <f>IF(X101="","",AVERAGE(X101:AA101))</f>
      </c>
      <c r="AF101" t="inlineStr">
        <is>
          <t/>
        </is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Participant code</t>
        </is>
      </c>
      <c r="B1" t="inlineStr">
        <is>
          <t>Baseline decision mean</t>
        </is>
      </c>
      <c r="C1" t="inlineStr">
        <is>
          <t>TraceGuide decision mean</t>
        </is>
      </c>
      <c r="D1" t="inlineStr">
        <is>
          <t>Decision difference</t>
        </is>
      </c>
      <c r="E1" t="inlineStr">
        <is>
          <t>Baseline correct count</t>
        </is>
      </c>
      <c r="F1" t="inlineStr">
        <is>
          <t>TraceGuide correct count</t>
        </is>
      </c>
      <c r="G1" t="inlineStr">
        <is>
          <t>Baseline ASQ mean</t>
        </is>
      </c>
      <c r="H1" t="inlineStr">
        <is>
          <t>TraceGuide ASQ mean</t>
        </is>
      </c>
      <c r="I1" t="inlineStr">
        <is>
          <t>Baseline SUS</t>
        </is>
      </c>
      <c r="J1" t="inlineStr">
        <is>
          <t>TraceGuide SUS</t>
        </is>
      </c>
      <c r="K1" t="inlineStr">
        <is>
          <t>Baseline NASA</t>
        </is>
      </c>
      <c r="L1" t="inlineStr">
        <is>
          <t>TraceGuide NASA</t>
        </is>
      </c>
      <c r="M1" t="inlineStr">
        <is>
          <t>Baseline evidence mean</t>
        </is>
      </c>
      <c r="N1" t="inlineStr">
        <is>
          <t>TraceGuide evidence mean</t>
        </is>
      </c>
      <c r="O1" t="inlineStr">
        <is>
          <t>Baseline control mean</t>
        </is>
      </c>
      <c r="P1" t="inlineStr">
        <is>
          <t>TraceGuide control mean</t>
        </is>
      </c>
    </row>
    <row r="2">
      <c r="A2">
        <f>IFERROR(INDEX(SORT(UNIQUE(FILTER('Raw Task Responses'!$B$2:$B$201,'Raw Task Responses'!$B$2:$B$201&lt;&gt;""))),ROW()-1),"")</f>
      </c>
      <c r="B2">
        <f>IF($A2="","",AVERAGEIFS('Raw Task Responses'!$P:$P,'Raw Task Responses'!$B:$B,$A2,'Raw Task Responses'!$D:$D,"Baseline"))</f>
      </c>
      <c r="C2">
        <f>IF($A2="","",AVERAGEIFS('Raw Task Responses'!$P:$P,'Raw Task Responses'!$B:$B,$A2,'Raw Task Responses'!$D:$D,"TraceGuide"))</f>
      </c>
      <c r="D2">
        <f>IF($A2="","",C2-B2)</f>
      </c>
      <c r="E2">
        <f>IF($A2="","",COUNTIFS('Raw Task Responses'!$B:$B,$A2,'Raw Task Responses'!$D:$D,"Baseline",'Raw Task Responses'!$P:$P,2))</f>
      </c>
      <c r="F2">
        <f>IF($A2="","",COUNTIFS('Raw Task Responses'!$B:$B,$A2,'Raw Task Responses'!$D:$D,"TraceGuide",'Raw Task Responses'!$P:$P,2))</f>
      </c>
      <c r="G2">
        <f>IF($A2="","",AVERAGEIFS('Raw Task Responses'!$R:$R,'Raw Task Responses'!$B:$B,$A2,'Raw Task Responses'!$D:$D,"Baseline"))</f>
      </c>
      <c r="H2">
        <f>IF($A2="","",AVERAGEIFS('Raw Task Responses'!$R:$R,'Raw Task Responses'!$B:$B,$A2,'Raw Task Responses'!$D:$D,"TraceGuide"))</f>
      </c>
      <c r="I2">
        <f>IF($A2="","",AVERAGEIFS('Post-test Raw'!$AB:$AB,'Post-test Raw'!$B:$B,$A2,'Post-test Raw'!$C:$C,"Baseline"))</f>
      </c>
      <c r="J2">
        <f>IF($A2="","",AVERAGEIFS('Post-test Raw'!$AB:$AB,'Post-test Raw'!$B:$B,$A2,'Post-test Raw'!$C:$C,"TraceGuide"))</f>
      </c>
      <c r="K2">
        <f>IF($A2="","",AVERAGEIFS('Post-test Raw'!$AC:$AC,'Post-test Raw'!$B:$B,$A2,'Post-test Raw'!$C:$C,"Baseline"))</f>
      </c>
      <c r="L2">
        <f>IF($A2="","",AVERAGEIFS('Post-test Raw'!$AC:$AC,'Post-test Raw'!$B:$B,$A2,'Post-test Raw'!$C:$C,"TraceGuide"))</f>
      </c>
      <c r="M2">
        <f>IF($A2="","",AVERAGEIFS('Post-test Raw'!$AD:$AD,'Post-test Raw'!$B:$B,$A2,'Post-test Raw'!$C:$C,"Baseline"))</f>
      </c>
      <c r="N2">
        <f>IF($A2="","",AVERAGEIFS('Post-test Raw'!$AD:$AD,'Post-test Raw'!$B:$B,$A2,'Post-test Raw'!$C:$C,"TraceGuide"))</f>
      </c>
      <c r="O2">
        <f>IF($A2="","",AVERAGEIFS('Post-test Raw'!$AE:$AE,'Post-test Raw'!$B:$B,$A2,'Post-test Raw'!$C:$C,"Baseline"))</f>
      </c>
      <c r="P2">
        <f>IF($A2="","",AVERAGEIFS('Post-test Raw'!$AE:$AE,'Post-test Raw'!$B:$B,$A2,'Post-test Raw'!$C:$C,"TraceGuide"))</f>
      </c>
    </row>
    <row r="3">
      <c r="A3">
        <f>IFERROR(INDEX(SORT(UNIQUE(FILTER('Raw Task Responses'!$B$2:$B$201,'Raw Task Responses'!$B$2:$B$201&lt;&gt;""))),ROW()-1),"")</f>
      </c>
      <c r="B3">
        <f>IF($A3="","",AVERAGEIFS('Raw Task Responses'!$P:$P,'Raw Task Responses'!$B:$B,$A3,'Raw Task Responses'!$D:$D,"Baseline"))</f>
      </c>
      <c r="C3">
        <f>IF($A3="","",AVERAGEIFS('Raw Task Responses'!$P:$P,'Raw Task Responses'!$B:$B,$A3,'Raw Task Responses'!$D:$D,"TraceGuide"))</f>
      </c>
      <c r="D3">
        <f>IF($A3="","",C3-B3)</f>
      </c>
      <c r="E3">
        <f>IF($A3="","",COUNTIFS('Raw Task Responses'!$B:$B,$A3,'Raw Task Responses'!$D:$D,"Baseline",'Raw Task Responses'!$P:$P,2))</f>
      </c>
      <c r="F3">
        <f>IF($A3="","",COUNTIFS('Raw Task Responses'!$B:$B,$A3,'Raw Task Responses'!$D:$D,"TraceGuide",'Raw Task Responses'!$P:$P,2))</f>
      </c>
      <c r="G3">
        <f>IF($A3="","",AVERAGEIFS('Raw Task Responses'!$R:$R,'Raw Task Responses'!$B:$B,$A3,'Raw Task Responses'!$D:$D,"Baseline"))</f>
      </c>
      <c r="H3">
        <f>IF($A3="","",AVERAGEIFS('Raw Task Responses'!$R:$R,'Raw Task Responses'!$B:$B,$A3,'Raw Task Responses'!$D:$D,"TraceGuide"))</f>
      </c>
      <c r="I3">
        <f>IF($A3="","",AVERAGEIFS('Post-test Raw'!$AB:$AB,'Post-test Raw'!$B:$B,$A3,'Post-test Raw'!$C:$C,"Baseline"))</f>
      </c>
      <c r="J3">
        <f>IF($A3="","",AVERAGEIFS('Post-test Raw'!$AB:$AB,'Post-test Raw'!$B:$B,$A3,'Post-test Raw'!$C:$C,"TraceGuide"))</f>
      </c>
      <c r="K3">
        <f>IF($A3="","",AVERAGEIFS('Post-test Raw'!$AC:$AC,'Post-test Raw'!$B:$B,$A3,'Post-test Raw'!$C:$C,"Baseline"))</f>
      </c>
      <c r="L3">
        <f>IF($A3="","",AVERAGEIFS('Post-test Raw'!$AC:$AC,'Post-test Raw'!$B:$B,$A3,'Post-test Raw'!$C:$C,"TraceGuide"))</f>
      </c>
      <c r="M3">
        <f>IF($A3="","",AVERAGEIFS('Post-test Raw'!$AD:$AD,'Post-test Raw'!$B:$B,$A3,'Post-test Raw'!$C:$C,"Baseline"))</f>
      </c>
      <c r="N3">
        <f>IF($A3="","",AVERAGEIFS('Post-test Raw'!$AD:$AD,'Post-test Raw'!$B:$B,$A3,'Post-test Raw'!$C:$C,"TraceGuide"))</f>
      </c>
      <c r="O3">
        <f>IF($A3="","",AVERAGEIFS('Post-test Raw'!$AE:$AE,'Post-test Raw'!$B:$B,$A3,'Post-test Raw'!$C:$C,"Baseline"))</f>
      </c>
      <c r="P3">
        <f>IF($A3="","",AVERAGEIFS('Post-test Raw'!$AE:$AE,'Post-test Raw'!$B:$B,$A3,'Post-test Raw'!$C:$C,"TraceGuide"))</f>
      </c>
    </row>
    <row r="4">
      <c r="A4">
        <f>IFERROR(INDEX(SORT(UNIQUE(FILTER('Raw Task Responses'!$B$2:$B$201,'Raw Task Responses'!$B$2:$B$201&lt;&gt;""))),ROW()-1),"")</f>
      </c>
      <c r="B4">
        <f>IF($A4="","",AVERAGEIFS('Raw Task Responses'!$P:$P,'Raw Task Responses'!$B:$B,$A4,'Raw Task Responses'!$D:$D,"Baseline"))</f>
      </c>
      <c r="C4">
        <f>IF($A4="","",AVERAGEIFS('Raw Task Responses'!$P:$P,'Raw Task Responses'!$B:$B,$A4,'Raw Task Responses'!$D:$D,"TraceGuide"))</f>
      </c>
      <c r="D4">
        <f>IF($A4="","",C4-B4)</f>
      </c>
      <c r="E4">
        <f>IF($A4="","",COUNTIFS('Raw Task Responses'!$B:$B,$A4,'Raw Task Responses'!$D:$D,"Baseline",'Raw Task Responses'!$P:$P,2))</f>
      </c>
      <c r="F4">
        <f>IF($A4="","",COUNTIFS('Raw Task Responses'!$B:$B,$A4,'Raw Task Responses'!$D:$D,"TraceGuide",'Raw Task Responses'!$P:$P,2))</f>
      </c>
      <c r="G4">
        <f>IF($A4="","",AVERAGEIFS('Raw Task Responses'!$R:$R,'Raw Task Responses'!$B:$B,$A4,'Raw Task Responses'!$D:$D,"Baseline"))</f>
      </c>
      <c r="H4">
        <f>IF($A4="","",AVERAGEIFS('Raw Task Responses'!$R:$R,'Raw Task Responses'!$B:$B,$A4,'Raw Task Responses'!$D:$D,"TraceGuide"))</f>
      </c>
      <c r="I4">
        <f>IF($A4="","",AVERAGEIFS('Post-test Raw'!$AB:$AB,'Post-test Raw'!$B:$B,$A4,'Post-test Raw'!$C:$C,"Baseline"))</f>
      </c>
      <c r="J4">
        <f>IF($A4="","",AVERAGEIFS('Post-test Raw'!$AB:$AB,'Post-test Raw'!$B:$B,$A4,'Post-test Raw'!$C:$C,"TraceGuide"))</f>
      </c>
      <c r="K4">
        <f>IF($A4="","",AVERAGEIFS('Post-test Raw'!$AC:$AC,'Post-test Raw'!$B:$B,$A4,'Post-test Raw'!$C:$C,"Baseline"))</f>
      </c>
      <c r="L4">
        <f>IF($A4="","",AVERAGEIFS('Post-test Raw'!$AC:$AC,'Post-test Raw'!$B:$B,$A4,'Post-test Raw'!$C:$C,"TraceGuide"))</f>
      </c>
      <c r="M4">
        <f>IF($A4="","",AVERAGEIFS('Post-test Raw'!$AD:$AD,'Post-test Raw'!$B:$B,$A4,'Post-test Raw'!$C:$C,"Baseline"))</f>
      </c>
      <c r="N4">
        <f>IF($A4="","",AVERAGEIFS('Post-test Raw'!$AD:$AD,'Post-test Raw'!$B:$B,$A4,'Post-test Raw'!$C:$C,"TraceGuide"))</f>
      </c>
      <c r="O4">
        <f>IF($A4="","",AVERAGEIFS('Post-test Raw'!$AE:$AE,'Post-test Raw'!$B:$B,$A4,'Post-test Raw'!$C:$C,"Baseline"))</f>
      </c>
      <c r="P4">
        <f>IF($A4="","",AVERAGEIFS('Post-test Raw'!$AE:$AE,'Post-test Raw'!$B:$B,$A4,'Post-test Raw'!$C:$C,"TraceGuide"))</f>
      </c>
    </row>
    <row r="5">
      <c r="A5">
        <f>IFERROR(INDEX(SORT(UNIQUE(FILTER('Raw Task Responses'!$B$2:$B$201,'Raw Task Responses'!$B$2:$B$201&lt;&gt;""))),ROW()-1),"")</f>
      </c>
      <c r="B5">
        <f>IF($A5="","",AVERAGEIFS('Raw Task Responses'!$P:$P,'Raw Task Responses'!$B:$B,$A5,'Raw Task Responses'!$D:$D,"Baseline"))</f>
      </c>
      <c r="C5">
        <f>IF($A5="","",AVERAGEIFS('Raw Task Responses'!$P:$P,'Raw Task Responses'!$B:$B,$A5,'Raw Task Responses'!$D:$D,"TraceGuide"))</f>
      </c>
      <c r="D5">
        <f>IF($A5="","",C5-B5)</f>
      </c>
      <c r="E5">
        <f>IF($A5="","",COUNTIFS('Raw Task Responses'!$B:$B,$A5,'Raw Task Responses'!$D:$D,"Baseline",'Raw Task Responses'!$P:$P,2))</f>
      </c>
      <c r="F5">
        <f>IF($A5="","",COUNTIFS('Raw Task Responses'!$B:$B,$A5,'Raw Task Responses'!$D:$D,"TraceGuide",'Raw Task Responses'!$P:$P,2))</f>
      </c>
      <c r="G5">
        <f>IF($A5="","",AVERAGEIFS('Raw Task Responses'!$R:$R,'Raw Task Responses'!$B:$B,$A5,'Raw Task Responses'!$D:$D,"Baseline"))</f>
      </c>
      <c r="H5">
        <f>IF($A5="","",AVERAGEIFS('Raw Task Responses'!$R:$R,'Raw Task Responses'!$B:$B,$A5,'Raw Task Responses'!$D:$D,"TraceGuide"))</f>
      </c>
      <c r="I5">
        <f>IF($A5="","",AVERAGEIFS('Post-test Raw'!$AB:$AB,'Post-test Raw'!$B:$B,$A5,'Post-test Raw'!$C:$C,"Baseline"))</f>
      </c>
      <c r="J5">
        <f>IF($A5="","",AVERAGEIFS('Post-test Raw'!$AB:$AB,'Post-test Raw'!$B:$B,$A5,'Post-test Raw'!$C:$C,"TraceGuide"))</f>
      </c>
      <c r="K5">
        <f>IF($A5="","",AVERAGEIFS('Post-test Raw'!$AC:$AC,'Post-test Raw'!$B:$B,$A5,'Post-test Raw'!$C:$C,"Baseline"))</f>
      </c>
      <c r="L5">
        <f>IF($A5="","",AVERAGEIFS('Post-test Raw'!$AC:$AC,'Post-test Raw'!$B:$B,$A5,'Post-test Raw'!$C:$C,"TraceGuide"))</f>
      </c>
      <c r="M5">
        <f>IF($A5="","",AVERAGEIFS('Post-test Raw'!$AD:$AD,'Post-test Raw'!$B:$B,$A5,'Post-test Raw'!$C:$C,"Baseline"))</f>
      </c>
      <c r="N5">
        <f>IF($A5="","",AVERAGEIFS('Post-test Raw'!$AD:$AD,'Post-test Raw'!$B:$B,$A5,'Post-test Raw'!$C:$C,"TraceGuide"))</f>
      </c>
      <c r="O5">
        <f>IF($A5="","",AVERAGEIFS('Post-test Raw'!$AE:$AE,'Post-test Raw'!$B:$B,$A5,'Post-test Raw'!$C:$C,"Baseline"))</f>
      </c>
      <c r="P5">
        <f>IF($A5="","",AVERAGEIFS('Post-test Raw'!$AE:$AE,'Post-test Raw'!$B:$B,$A5,'Post-test Raw'!$C:$C,"TraceGuide"))</f>
      </c>
    </row>
    <row r="6">
      <c r="A6">
        <f>IFERROR(INDEX(SORT(UNIQUE(FILTER('Raw Task Responses'!$B$2:$B$201,'Raw Task Responses'!$B$2:$B$201&lt;&gt;""))),ROW()-1),"")</f>
      </c>
      <c r="B6">
        <f>IF($A6="","",AVERAGEIFS('Raw Task Responses'!$P:$P,'Raw Task Responses'!$B:$B,$A6,'Raw Task Responses'!$D:$D,"Baseline"))</f>
      </c>
      <c r="C6">
        <f>IF($A6="","",AVERAGEIFS('Raw Task Responses'!$P:$P,'Raw Task Responses'!$B:$B,$A6,'Raw Task Responses'!$D:$D,"TraceGuide"))</f>
      </c>
      <c r="D6">
        <f>IF($A6="","",C6-B6)</f>
      </c>
      <c r="E6">
        <f>IF($A6="","",COUNTIFS('Raw Task Responses'!$B:$B,$A6,'Raw Task Responses'!$D:$D,"Baseline",'Raw Task Responses'!$P:$P,2))</f>
      </c>
      <c r="F6">
        <f>IF($A6="","",COUNTIFS('Raw Task Responses'!$B:$B,$A6,'Raw Task Responses'!$D:$D,"TraceGuide",'Raw Task Responses'!$P:$P,2))</f>
      </c>
      <c r="G6">
        <f>IF($A6="","",AVERAGEIFS('Raw Task Responses'!$R:$R,'Raw Task Responses'!$B:$B,$A6,'Raw Task Responses'!$D:$D,"Baseline"))</f>
      </c>
      <c r="H6">
        <f>IF($A6="","",AVERAGEIFS('Raw Task Responses'!$R:$R,'Raw Task Responses'!$B:$B,$A6,'Raw Task Responses'!$D:$D,"TraceGuide"))</f>
      </c>
      <c r="I6">
        <f>IF($A6="","",AVERAGEIFS('Post-test Raw'!$AB:$AB,'Post-test Raw'!$B:$B,$A6,'Post-test Raw'!$C:$C,"Baseline"))</f>
      </c>
      <c r="J6">
        <f>IF($A6="","",AVERAGEIFS('Post-test Raw'!$AB:$AB,'Post-test Raw'!$B:$B,$A6,'Post-test Raw'!$C:$C,"TraceGuide"))</f>
      </c>
      <c r="K6">
        <f>IF($A6="","",AVERAGEIFS('Post-test Raw'!$AC:$AC,'Post-test Raw'!$B:$B,$A6,'Post-test Raw'!$C:$C,"Baseline"))</f>
      </c>
      <c r="L6">
        <f>IF($A6="","",AVERAGEIFS('Post-test Raw'!$AC:$AC,'Post-test Raw'!$B:$B,$A6,'Post-test Raw'!$C:$C,"TraceGuide"))</f>
      </c>
      <c r="M6">
        <f>IF($A6="","",AVERAGEIFS('Post-test Raw'!$AD:$AD,'Post-test Raw'!$B:$B,$A6,'Post-test Raw'!$C:$C,"Baseline"))</f>
      </c>
      <c r="N6">
        <f>IF($A6="","",AVERAGEIFS('Post-test Raw'!$AD:$AD,'Post-test Raw'!$B:$B,$A6,'Post-test Raw'!$C:$C,"TraceGuide"))</f>
      </c>
      <c r="O6">
        <f>IF($A6="","",AVERAGEIFS('Post-test Raw'!$AE:$AE,'Post-test Raw'!$B:$B,$A6,'Post-test Raw'!$C:$C,"Baseline"))</f>
      </c>
      <c r="P6">
        <f>IF($A6="","",AVERAGEIFS('Post-test Raw'!$AE:$AE,'Post-test Raw'!$B:$B,$A6,'Post-test Raw'!$C:$C,"TraceGuide"))</f>
      </c>
    </row>
    <row r="7">
      <c r="A7">
        <f>IFERROR(INDEX(SORT(UNIQUE(FILTER('Raw Task Responses'!$B$2:$B$201,'Raw Task Responses'!$B$2:$B$201&lt;&gt;""))),ROW()-1),"")</f>
      </c>
      <c r="B7">
        <f>IF($A7="","",AVERAGEIFS('Raw Task Responses'!$P:$P,'Raw Task Responses'!$B:$B,$A7,'Raw Task Responses'!$D:$D,"Baseline"))</f>
      </c>
      <c r="C7">
        <f>IF($A7="","",AVERAGEIFS('Raw Task Responses'!$P:$P,'Raw Task Responses'!$B:$B,$A7,'Raw Task Responses'!$D:$D,"TraceGuide"))</f>
      </c>
      <c r="D7">
        <f>IF($A7="","",C7-B7)</f>
      </c>
      <c r="E7">
        <f>IF($A7="","",COUNTIFS('Raw Task Responses'!$B:$B,$A7,'Raw Task Responses'!$D:$D,"Baseline",'Raw Task Responses'!$P:$P,2))</f>
      </c>
      <c r="F7">
        <f>IF($A7="","",COUNTIFS('Raw Task Responses'!$B:$B,$A7,'Raw Task Responses'!$D:$D,"TraceGuide",'Raw Task Responses'!$P:$P,2))</f>
      </c>
      <c r="G7">
        <f>IF($A7="","",AVERAGEIFS('Raw Task Responses'!$R:$R,'Raw Task Responses'!$B:$B,$A7,'Raw Task Responses'!$D:$D,"Baseline"))</f>
      </c>
      <c r="H7">
        <f>IF($A7="","",AVERAGEIFS('Raw Task Responses'!$R:$R,'Raw Task Responses'!$B:$B,$A7,'Raw Task Responses'!$D:$D,"TraceGuide"))</f>
      </c>
      <c r="I7">
        <f>IF($A7="","",AVERAGEIFS('Post-test Raw'!$AB:$AB,'Post-test Raw'!$B:$B,$A7,'Post-test Raw'!$C:$C,"Baseline"))</f>
      </c>
      <c r="J7">
        <f>IF($A7="","",AVERAGEIFS('Post-test Raw'!$AB:$AB,'Post-test Raw'!$B:$B,$A7,'Post-test Raw'!$C:$C,"TraceGuide"))</f>
      </c>
      <c r="K7">
        <f>IF($A7="","",AVERAGEIFS('Post-test Raw'!$AC:$AC,'Post-test Raw'!$B:$B,$A7,'Post-test Raw'!$C:$C,"Baseline"))</f>
      </c>
      <c r="L7">
        <f>IF($A7="","",AVERAGEIFS('Post-test Raw'!$AC:$AC,'Post-test Raw'!$B:$B,$A7,'Post-test Raw'!$C:$C,"TraceGuide"))</f>
      </c>
      <c r="M7">
        <f>IF($A7="","",AVERAGEIFS('Post-test Raw'!$AD:$AD,'Post-test Raw'!$B:$B,$A7,'Post-test Raw'!$C:$C,"Baseline"))</f>
      </c>
      <c r="N7">
        <f>IF($A7="","",AVERAGEIFS('Post-test Raw'!$AD:$AD,'Post-test Raw'!$B:$B,$A7,'Post-test Raw'!$C:$C,"TraceGuide"))</f>
      </c>
      <c r="O7">
        <f>IF($A7="","",AVERAGEIFS('Post-test Raw'!$AE:$AE,'Post-test Raw'!$B:$B,$A7,'Post-test Raw'!$C:$C,"Baseline"))</f>
      </c>
      <c r="P7">
        <f>IF($A7="","",AVERAGEIFS('Post-test Raw'!$AE:$AE,'Post-test Raw'!$B:$B,$A7,'Post-test Raw'!$C:$C,"TraceGuide"))</f>
      </c>
    </row>
    <row r="8">
      <c r="A8">
        <f>IFERROR(INDEX(SORT(UNIQUE(FILTER('Raw Task Responses'!$B$2:$B$201,'Raw Task Responses'!$B$2:$B$201&lt;&gt;""))),ROW()-1),"")</f>
      </c>
      <c r="B8">
        <f>IF($A8="","",AVERAGEIFS('Raw Task Responses'!$P:$P,'Raw Task Responses'!$B:$B,$A8,'Raw Task Responses'!$D:$D,"Baseline"))</f>
      </c>
      <c r="C8">
        <f>IF($A8="","",AVERAGEIFS('Raw Task Responses'!$P:$P,'Raw Task Responses'!$B:$B,$A8,'Raw Task Responses'!$D:$D,"TraceGuide"))</f>
      </c>
      <c r="D8">
        <f>IF($A8="","",C8-B8)</f>
      </c>
      <c r="E8">
        <f>IF($A8="","",COUNTIFS('Raw Task Responses'!$B:$B,$A8,'Raw Task Responses'!$D:$D,"Baseline",'Raw Task Responses'!$P:$P,2))</f>
      </c>
      <c r="F8">
        <f>IF($A8="","",COUNTIFS('Raw Task Responses'!$B:$B,$A8,'Raw Task Responses'!$D:$D,"TraceGuide",'Raw Task Responses'!$P:$P,2))</f>
      </c>
      <c r="G8">
        <f>IF($A8="","",AVERAGEIFS('Raw Task Responses'!$R:$R,'Raw Task Responses'!$B:$B,$A8,'Raw Task Responses'!$D:$D,"Baseline"))</f>
      </c>
      <c r="H8">
        <f>IF($A8="","",AVERAGEIFS('Raw Task Responses'!$R:$R,'Raw Task Responses'!$B:$B,$A8,'Raw Task Responses'!$D:$D,"TraceGuide"))</f>
      </c>
      <c r="I8">
        <f>IF($A8="","",AVERAGEIFS('Post-test Raw'!$AB:$AB,'Post-test Raw'!$B:$B,$A8,'Post-test Raw'!$C:$C,"Baseline"))</f>
      </c>
      <c r="J8">
        <f>IF($A8="","",AVERAGEIFS('Post-test Raw'!$AB:$AB,'Post-test Raw'!$B:$B,$A8,'Post-test Raw'!$C:$C,"TraceGuide"))</f>
      </c>
      <c r="K8">
        <f>IF($A8="","",AVERAGEIFS('Post-test Raw'!$AC:$AC,'Post-test Raw'!$B:$B,$A8,'Post-test Raw'!$C:$C,"Baseline"))</f>
      </c>
      <c r="L8">
        <f>IF($A8="","",AVERAGEIFS('Post-test Raw'!$AC:$AC,'Post-test Raw'!$B:$B,$A8,'Post-test Raw'!$C:$C,"TraceGuide"))</f>
      </c>
      <c r="M8">
        <f>IF($A8="","",AVERAGEIFS('Post-test Raw'!$AD:$AD,'Post-test Raw'!$B:$B,$A8,'Post-test Raw'!$C:$C,"Baseline"))</f>
      </c>
      <c r="N8">
        <f>IF($A8="","",AVERAGEIFS('Post-test Raw'!$AD:$AD,'Post-test Raw'!$B:$B,$A8,'Post-test Raw'!$C:$C,"TraceGuide"))</f>
      </c>
      <c r="O8">
        <f>IF($A8="","",AVERAGEIFS('Post-test Raw'!$AE:$AE,'Post-test Raw'!$B:$B,$A8,'Post-test Raw'!$C:$C,"Baseline"))</f>
      </c>
      <c r="P8">
        <f>IF($A8="","",AVERAGEIFS('Post-test Raw'!$AE:$AE,'Post-test Raw'!$B:$B,$A8,'Post-test Raw'!$C:$C,"TraceGuide"))</f>
      </c>
    </row>
    <row r="9">
      <c r="A9">
        <f>IFERROR(INDEX(SORT(UNIQUE(FILTER('Raw Task Responses'!$B$2:$B$201,'Raw Task Responses'!$B$2:$B$201&lt;&gt;""))),ROW()-1),"")</f>
      </c>
      <c r="B9">
        <f>IF($A9="","",AVERAGEIFS('Raw Task Responses'!$P:$P,'Raw Task Responses'!$B:$B,$A9,'Raw Task Responses'!$D:$D,"Baseline"))</f>
      </c>
      <c r="C9">
        <f>IF($A9="","",AVERAGEIFS('Raw Task Responses'!$P:$P,'Raw Task Responses'!$B:$B,$A9,'Raw Task Responses'!$D:$D,"TraceGuide"))</f>
      </c>
      <c r="D9">
        <f>IF($A9="","",C9-B9)</f>
      </c>
      <c r="E9">
        <f>IF($A9="","",COUNTIFS('Raw Task Responses'!$B:$B,$A9,'Raw Task Responses'!$D:$D,"Baseline",'Raw Task Responses'!$P:$P,2))</f>
      </c>
      <c r="F9">
        <f>IF($A9="","",COUNTIFS('Raw Task Responses'!$B:$B,$A9,'Raw Task Responses'!$D:$D,"TraceGuide",'Raw Task Responses'!$P:$P,2))</f>
      </c>
      <c r="G9">
        <f>IF($A9="","",AVERAGEIFS('Raw Task Responses'!$R:$R,'Raw Task Responses'!$B:$B,$A9,'Raw Task Responses'!$D:$D,"Baseline"))</f>
      </c>
      <c r="H9">
        <f>IF($A9="","",AVERAGEIFS('Raw Task Responses'!$R:$R,'Raw Task Responses'!$B:$B,$A9,'Raw Task Responses'!$D:$D,"TraceGuide"))</f>
      </c>
      <c r="I9">
        <f>IF($A9="","",AVERAGEIFS('Post-test Raw'!$AB:$AB,'Post-test Raw'!$B:$B,$A9,'Post-test Raw'!$C:$C,"Baseline"))</f>
      </c>
      <c r="J9">
        <f>IF($A9="","",AVERAGEIFS('Post-test Raw'!$AB:$AB,'Post-test Raw'!$B:$B,$A9,'Post-test Raw'!$C:$C,"TraceGuide"))</f>
      </c>
      <c r="K9">
        <f>IF($A9="","",AVERAGEIFS('Post-test Raw'!$AC:$AC,'Post-test Raw'!$B:$B,$A9,'Post-test Raw'!$C:$C,"Baseline"))</f>
      </c>
      <c r="L9">
        <f>IF($A9="","",AVERAGEIFS('Post-test Raw'!$AC:$AC,'Post-test Raw'!$B:$B,$A9,'Post-test Raw'!$C:$C,"TraceGuide"))</f>
      </c>
      <c r="M9">
        <f>IF($A9="","",AVERAGEIFS('Post-test Raw'!$AD:$AD,'Post-test Raw'!$B:$B,$A9,'Post-test Raw'!$C:$C,"Baseline"))</f>
      </c>
      <c r="N9">
        <f>IF($A9="","",AVERAGEIFS('Post-test Raw'!$AD:$AD,'Post-test Raw'!$B:$B,$A9,'Post-test Raw'!$C:$C,"TraceGuide"))</f>
      </c>
      <c r="O9">
        <f>IF($A9="","",AVERAGEIFS('Post-test Raw'!$AE:$AE,'Post-test Raw'!$B:$B,$A9,'Post-test Raw'!$C:$C,"Baseline"))</f>
      </c>
      <c r="P9">
        <f>IF($A9="","",AVERAGEIFS('Post-test Raw'!$AE:$AE,'Post-test Raw'!$B:$B,$A9,'Post-test Raw'!$C:$C,"TraceGuide"))</f>
      </c>
    </row>
    <row r="10">
      <c r="A10">
        <f>IFERROR(INDEX(SORT(UNIQUE(FILTER('Raw Task Responses'!$B$2:$B$201,'Raw Task Responses'!$B$2:$B$201&lt;&gt;""))),ROW()-1),"")</f>
      </c>
      <c r="B10">
        <f>IF($A10="","",AVERAGEIFS('Raw Task Responses'!$P:$P,'Raw Task Responses'!$B:$B,$A10,'Raw Task Responses'!$D:$D,"Baseline"))</f>
      </c>
      <c r="C10">
        <f>IF($A10="","",AVERAGEIFS('Raw Task Responses'!$P:$P,'Raw Task Responses'!$B:$B,$A10,'Raw Task Responses'!$D:$D,"TraceGuide"))</f>
      </c>
      <c r="D10">
        <f>IF($A10="","",C10-B10)</f>
      </c>
      <c r="E10">
        <f>IF($A10="","",COUNTIFS('Raw Task Responses'!$B:$B,$A10,'Raw Task Responses'!$D:$D,"Baseline",'Raw Task Responses'!$P:$P,2))</f>
      </c>
      <c r="F10">
        <f>IF($A10="","",COUNTIFS('Raw Task Responses'!$B:$B,$A10,'Raw Task Responses'!$D:$D,"TraceGuide",'Raw Task Responses'!$P:$P,2))</f>
      </c>
      <c r="G10">
        <f>IF($A10="","",AVERAGEIFS('Raw Task Responses'!$R:$R,'Raw Task Responses'!$B:$B,$A10,'Raw Task Responses'!$D:$D,"Baseline"))</f>
      </c>
      <c r="H10">
        <f>IF($A10="","",AVERAGEIFS('Raw Task Responses'!$R:$R,'Raw Task Responses'!$B:$B,$A10,'Raw Task Responses'!$D:$D,"TraceGuide"))</f>
      </c>
      <c r="I10">
        <f>IF($A10="","",AVERAGEIFS('Post-test Raw'!$AB:$AB,'Post-test Raw'!$B:$B,$A10,'Post-test Raw'!$C:$C,"Baseline"))</f>
      </c>
      <c r="J10">
        <f>IF($A10="","",AVERAGEIFS('Post-test Raw'!$AB:$AB,'Post-test Raw'!$B:$B,$A10,'Post-test Raw'!$C:$C,"TraceGuide"))</f>
      </c>
      <c r="K10">
        <f>IF($A10="","",AVERAGEIFS('Post-test Raw'!$AC:$AC,'Post-test Raw'!$B:$B,$A10,'Post-test Raw'!$C:$C,"Baseline"))</f>
      </c>
      <c r="L10">
        <f>IF($A10="","",AVERAGEIFS('Post-test Raw'!$AC:$AC,'Post-test Raw'!$B:$B,$A10,'Post-test Raw'!$C:$C,"TraceGuide"))</f>
      </c>
      <c r="M10">
        <f>IF($A10="","",AVERAGEIFS('Post-test Raw'!$AD:$AD,'Post-test Raw'!$B:$B,$A10,'Post-test Raw'!$C:$C,"Baseline"))</f>
      </c>
      <c r="N10">
        <f>IF($A10="","",AVERAGEIFS('Post-test Raw'!$AD:$AD,'Post-test Raw'!$B:$B,$A10,'Post-test Raw'!$C:$C,"TraceGuide"))</f>
      </c>
      <c r="O10">
        <f>IF($A10="","",AVERAGEIFS('Post-test Raw'!$AE:$AE,'Post-test Raw'!$B:$B,$A10,'Post-test Raw'!$C:$C,"Baseline"))</f>
      </c>
      <c r="P10">
        <f>IF($A10="","",AVERAGEIFS('Post-test Raw'!$AE:$AE,'Post-test Raw'!$B:$B,$A10,'Post-test Raw'!$C:$C,"TraceGuide"))</f>
      </c>
    </row>
    <row r="11">
      <c r="A11">
        <f>IFERROR(INDEX(SORT(UNIQUE(FILTER('Raw Task Responses'!$B$2:$B$201,'Raw Task Responses'!$B$2:$B$201&lt;&gt;""))),ROW()-1),"")</f>
      </c>
      <c r="B11">
        <f>IF($A11="","",AVERAGEIFS('Raw Task Responses'!$P:$P,'Raw Task Responses'!$B:$B,$A11,'Raw Task Responses'!$D:$D,"Baseline"))</f>
      </c>
      <c r="C11">
        <f>IF($A11="","",AVERAGEIFS('Raw Task Responses'!$P:$P,'Raw Task Responses'!$B:$B,$A11,'Raw Task Responses'!$D:$D,"TraceGuide"))</f>
      </c>
      <c r="D11">
        <f>IF($A11="","",C11-B11)</f>
      </c>
      <c r="E11">
        <f>IF($A11="","",COUNTIFS('Raw Task Responses'!$B:$B,$A11,'Raw Task Responses'!$D:$D,"Baseline",'Raw Task Responses'!$P:$P,2))</f>
      </c>
      <c r="F11">
        <f>IF($A11="","",COUNTIFS('Raw Task Responses'!$B:$B,$A11,'Raw Task Responses'!$D:$D,"TraceGuide",'Raw Task Responses'!$P:$P,2))</f>
      </c>
      <c r="G11">
        <f>IF($A11="","",AVERAGEIFS('Raw Task Responses'!$R:$R,'Raw Task Responses'!$B:$B,$A11,'Raw Task Responses'!$D:$D,"Baseline"))</f>
      </c>
      <c r="H11">
        <f>IF($A11="","",AVERAGEIFS('Raw Task Responses'!$R:$R,'Raw Task Responses'!$B:$B,$A11,'Raw Task Responses'!$D:$D,"TraceGuide"))</f>
      </c>
      <c r="I11">
        <f>IF($A11="","",AVERAGEIFS('Post-test Raw'!$AB:$AB,'Post-test Raw'!$B:$B,$A11,'Post-test Raw'!$C:$C,"Baseline"))</f>
      </c>
      <c r="J11">
        <f>IF($A11="","",AVERAGEIFS('Post-test Raw'!$AB:$AB,'Post-test Raw'!$B:$B,$A11,'Post-test Raw'!$C:$C,"TraceGuide"))</f>
      </c>
      <c r="K11">
        <f>IF($A11="","",AVERAGEIFS('Post-test Raw'!$AC:$AC,'Post-test Raw'!$B:$B,$A11,'Post-test Raw'!$C:$C,"Baseline"))</f>
      </c>
      <c r="L11">
        <f>IF($A11="","",AVERAGEIFS('Post-test Raw'!$AC:$AC,'Post-test Raw'!$B:$B,$A11,'Post-test Raw'!$C:$C,"TraceGuide"))</f>
      </c>
      <c r="M11">
        <f>IF($A11="","",AVERAGEIFS('Post-test Raw'!$AD:$AD,'Post-test Raw'!$B:$B,$A11,'Post-test Raw'!$C:$C,"Baseline"))</f>
      </c>
      <c r="N11">
        <f>IF($A11="","",AVERAGEIFS('Post-test Raw'!$AD:$AD,'Post-test Raw'!$B:$B,$A11,'Post-test Raw'!$C:$C,"TraceGuide"))</f>
      </c>
      <c r="O11">
        <f>IF($A11="","",AVERAGEIFS('Post-test Raw'!$AE:$AE,'Post-test Raw'!$B:$B,$A11,'Post-test Raw'!$C:$C,"Baseline"))</f>
      </c>
      <c r="P11">
        <f>IF($A11="","",AVERAGEIFS('Post-test Raw'!$AE:$AE,'Post-test Raw'!$B:$B,$A11,'Post-test Raw'!$C:$C,"TraceGuide"))</f>
      </c>
    </row>
    <row r="12">
      <c r="A12">
        <f>IFERROR(INDEX(SORT(UNIQUE(FILTER('Raw Task Responses'!$B$2:$B$201,'Raw Task Responses'!$B$2:$B$201&lt;&gt;""))),ROW()-1),"")</f>
      </c>
      <c r="B12">
        <f>IF($A12="","",AVERAGEIFS('Raw Task Responses'!$P:$P,'Raw Task Responses'!$B:$B,$A12,'Raw Task Responses'!$D:$D,"Baseline"))</f>
      </c>
      <c r="C12">
        <f>IF($A12="","",AVERAGEIFS('Raw Task Responses'!$P:$P,'Raw Task Responses'!$B:$B,$A12,'Raw Task Responses'!$D:$D,"TraceGuide"))</f>
      </c>
      <c r="D12">
        <f>IF($A12="","",C12-B12)</f>
      </c>
      <c r="E12">
        <f>IF($A12="","",COUNTIFS('Raw Task Responses'!$B:$B,$A12,'Raw Task Responses'!$D:$D,"Baseline",'Raw Task Responses'!$P:$P,2))</f>
      </c>
      <c r="F12">
        <f>IF($A12="","",COUNTIFS('Raw Task Responses'!$B:$B,$A12,'Raw Task Responses'!$D:$D,"TraceGuide",'Raw Task Responses'!$P:$P,2))</f>
      </c>
      <c r="G12">
        <f>IF($A12="","",AVERAGEIFS('Raw Task Responses'!$R:$R,'Raw Task Responses'!$B:$B,$A12,'Raw Task Responses'!$D:$D,"Baseline"))</f>
      </c>
      <c r="H12">
        <f>IF($A12="","",AVERAGEIFS('Raw Task Responses'!$R:$R,'Raw Task Responses'!$B:$B,$A12,'Raw Task Responses'!$D:$D,"TraceGuide"))</f>
      </c>
      <c r="I12">
        <f>IF($A12="","",AVERAGEIFS('Post-test Raw'!$AB:$AB,'Post-test Raw'!$B:$B,$A12,'Post-test Raw'!$C:$C,"Baseline"))</f>
      </c>
      <c r="J12">
        <f>IF($A12="","",AVERAGEIFS('Post-test Raw'!$AB:$AB,'Post-test Raw'!$B:$B,$A12,'Post-test Raw'!$C:$C,"TraceGuide"))</f>
      </c>
      <c r="K12">
        <f>IF($A12="","",AVERAGEIFS('Post-test Raw'!$AC:$AC,'Post-test Raw'!$B:$B,$A12,'Post-test Raw'!$C:$C,"Baseline"))</f>
      </c>
      <c r="L12">
        <f>IF($A12="","",AVERAGEIFS('Post-test Raw'!$AC:$AC,'Post-test Raw'!$B:$B,$A12,'Post-test Raw'!$C:$C,"TraceGuide"))</f>
      </c>
      <c r="M12">
        <f>IF($A12="","",AVERAGEIFS('Post-test Raw'!$AD:$AD,'Post-test Raw'!$B:$B,$A12,'Post-test Raw'!$C:$C,"Baseline"))</f>
      </c>
      <c r="N12">
        <f>IF($A12="","",AVERAGEIFS('Post-test Raw'!$AD:$AD,'Post-test Raw'!$B:$B,$A12,'Post-test Raw'!$C:$C,"TraceGuide"))</f>
      </c>
      <c r="O12">
        <f>IF($A12="","",AVERAGEIFS('Post-test Raw'!$AE:$AE,'Post-test Raw'!$B:$B,$A12,'Post-test Raw'!$C:$C,"Baseline"))</f>
      </c>
      <c r="P12">
        <f>IF($A12="","",AVERAGEIFS('Post-test Raw'!$AE:$AE,'Post-test Raw'!$B:$B,$A12,'Post-test Raw'!$C:$C,"TraceGuide"))</f>
      </c>
    </row>
    <row r="13">
      <c r="A13">
        <f>IFERROR(INDEX(SORT(UNIQUE(FILTER('Raw Task Responses'!$B$2:$B$201,'Raw Task Responses'!$B$2:$B$201&lt;&gt;""))),ROW()-1),"")</f>
      </c>
      <c r="B13">
        <f>IF($A13="","",AVERAGEIFS('Raw Task Responses'!$P:$P,'Raw Task Responses'!$B:$B,$A13,'Raw Task Responses'!$D:$D,"Baseline"))</f>
      </c>
      <c r="C13">
        <f>IF($A13="","",AVERAGEIFS('Raw Task Responses'!$P:$P,'Raw Task Responses'!$B:$B,$A13,'Raw Task Responses'!$D:$D,"TraceGuide"))</f>
      </c>
      <c r="D13">
        <f>IF($A13="","",C13-B13)</f>
      </c>
      <c r="E13">
        <f>IF($A13="","",COUNTIFS('Raw Task Responses'!$B:$B,$A13,'Raw Task Responses'!$D:$D,"Baseline",'Raw Task Responses'!$P:$P,2))</f>
      </c>
      <c r="F13">
        <f>IF($A13="","",COUNTIFS('Raw Task Responses'!$B:$B,$A13,'Raw Task Responses'!$D:$D,"TraceGuide",'Raw Task Responses'!$P:$P,2))</f>
      </c>
      <c r="G13">
        <f>IF($A13="","",AVERAGEIFS('Raw Task Responses'!$R:$R,'Raw Task Responses'!$B:$B,$A13,'Raw Task Responses'!$D:$D,"Baseline"))</f>
      </c>
      <c r="H13">
        <f>IF($A13="","",AVERAGEIFS('Raw Task Responses'!$R:$R,'Raw Task Responses'!$B:$B,$A13,'Raw Task Responses'!$D:$D,"TraceGuide"))</f>
      </c>
      <c r="I13">
        <f>IF($A13="","",AVERAGEIFS('Post-test Raw'!$AB:$AB,'Post-test Raw'!$B:$B,$A13,'Post-test Raw'!$C:$C,"Baseline"))</f>
      </c>
      <c r="J13">
        <f>IF($A13="","",AVERAGEIFS('Post-test Raw'!$AB:$AB,'Post-test Raw'!$B:$B,$A13,'Post-test Raw'!$C:$C,"TraceGuide"))</f>
      </c>
      <c r="K13">
        <f>IF($A13="","",AVERAGEIFS('Post-test Raw'!$AC:$AC,'Post-test Raw'!$B:$B,$A13,'Post-test Raw'!$C:$C,"Baseline"))</f>
      </c>
      <c r="L13">
        <f>IF($A13="","",AVERAGEIFS('Post-test Raw'!$AC:$AC,'Post-test Raw'!$B:$B,$A13,'Post-test Raw'!$C:$C,"TraceGuide"))</f>
      </c>
      <c r="M13">
        <f>IF($A13="","",AVERAGEIFS('Post-test Raw'!$AD:$AD,'Post-test Raw'!$B:$B,$A13,'Post-test Raw'!$C:$C,"Baseline"))</f>
      </c>
      <c r="N13">
        <f>IF($A13="","",AVERAGEIFS('Post-test Raw'!$AD:$AD,'Post-test Raw'!$B:$B,$A13,'Post-test Raw'!$C:$C,"TraceGuide"))</f>
      </c>
      <c r="O13">
        <f>IF($A13="","",AVERAGEIFS('Post-test Raw'!$AE:$AE,'Post-test Raw'!$B:$B,$A13,'Post-test Raw'!$C:$C,"Baseline"))</f>
      </c>
      <c r="P13">
        <f>IF($A13="","",AVERAGEIFS('Post-test Raw'!$AE:$AE,'Post-test Raw'!$B:$B,$A13,'Post-test Raw'!$C:$C,"TraceGuide"))</f>
      </c>
    </row>
    <row r="14">
      <c r="A14">
        <f>IFERROR(INDEX(SORT(UNIQUE(FILTER('Raw Task Responses'!$B$2:$B$201,'Raw Task Responses'!$B$2:$B$201&lt;&gt;""))),ROW()-1),"")</f>
      </c>
      <c r="B14">
        <f>IF($A14="","",AVERAGEIFS('Raw Task Responses'!$P:$P,'Raw Task Responses'!$B:$B,$A14,'Raw Task Responses'!$D:$D,"Baseline"))</f>
      </c>
      <c r="C14">
        <f>IF($A14="","",AVERAGEIFS('Raw Task Responses'!$P:$P,'Raw Task Responses'!$B:$B,$A14,'Raw Task Responses'!$D:$D,"TraceGuide"))</f>
      </c>
      <c r="D14">
        <f>IF($A14="","",C14-B14)</f>
      </c>
      <c r="E14">
        <f>IF($A14="","",COUNTIFS('Raw Task Responses'!$B:$B,$A14,'Raw Task Responses'!$D:$D,"Baseline",'Raw Task Responses'!$P:$P,2))</f>
      </c>
      <c r="F14">
        <f>IF($A14="","",COUNTIFS('Raw Task Responses'!$B:$B,$A14,'Raw Task Responses'!$D:$D,"TraceGuide",'Raw Task Responses'!$P:$P,2))</f>
      </c>
      <c r="G14">
        <f>IF($A14="","",AVERAGEIFS('Raw Task Responses'!$R:$R,'Raw Task Responses'!$B:$B,$A14,'Raw Task Responses'!$D:$D,"Baseline"))</f>
      </c>
      <c r="H14">
        <f>IF($A14="","",AVERAGEIFS('Raw Task Responses'!$R:$R,'Raw Task Responses'!$B:$B,$A14,'Raw Task Responses'!$D:$D,"TraceGuide"))</f>
      </c>
      <c r="I14">
        <f>IF($A14="","",AVERAGEIFS('Post-test Raw'!$AB:$AB,'Post-test Raw'!$B:$B,$A14,'Post-test Raw'!$C:$C,"Baseline"))</f>
      </c>
      <c r="J14">
        <f>IF($A14="","",AVERAGEIFS('Post-test Raw'!$AB:$AB,'Post-test Raw'!$B:$B,$A14,'Post-test Raw'!$C:$C,"TraceGuide"))</f>
      </c>
      <c r="K14">
        <f>IF($A14="","",AVERAGEIFS('Post-test Raw'!$AC:$AC,'Post-test Raw'!$B:$B,$A14,'Post-test Raw'!$C:$C,"Baseline"))</f>
      </c>
      <c r="L14">
        <f>IF($A14="","",AVERAGEIFS('Post-test Raw'!$AC:$AC,'Post-test Raw'!$B:$B,$A14,'Post-test Raw'!$C:$C,"TraceGuide"))</f>
      </c>
      <c r="M14">
        <f>IF($A14="","",AVERAGEIFS('Post-test Raw'!$AD:$AD,'Post-test Raw'!$B:$B,$A14,'Post-test Raw'!$C:$C,"Baseline"))</f>
      </c>
      <c r="N14">
        <f>IF($A14="","",AVERAGEIFS('Post-test Raw'!$AD:$AD,'Post-test Raw'!$B:$B,$A14,'Post-test Raw'!$C:$C,"TraceGuide"))</f>
      </c>
      <c r="O14">
        <f>IF($A14="","",AVERAGEIFS('Post-test Raw'!$AE:$AE,'Post-test Raw'!$B:$B,$A14,'Post-test Raw'!$C:$C,"Baseline"))</f>
      </c>
      <c r="P14">
        <f>IF($A14="","",AVERAGEIFS('Post-test Raw'!$AE:$AE,'Post-test Raw'!$B:$B,$A14,'Post-test Raw'!$C:$C,"TraceGuide"))</f>
      </c>
    </row>
    <row r="15">
      <c r="A15">
        <f>IFERROR(INDEX(SORT(UNIQUE(FILTER('Raw Task Responses'!$B$2:$B$201,'Raw Task Responses'!$B$2:$B$201&lt;&gt;""))),ROW()-1),"")</f>
      </c>
      <c r="B15">
        <f>IF($A15="","",AVERAGEIFS('Raw Task Responses'!$P:$P,'Raw Task Responses'!$B:$B,$A15,'Raw Task Responses'!$D:$D,"Baseline"))</f>
      </c>
      <c r="C15">
        <f>IF($A15="","",AVERAGEIFS('Raw Task Responses'!$P:$P,'Raw Task Responses'!$B:$B,$A15,'Raw Task Responses'!$D:$D,"TraceGuide"))</f>
      </c>
      <c r="D15">
        <f>IF($A15="","",C15-B15)</f>
      </c>
      <c r="E15">
        <f>IF($A15="","",COUNTIFS('Raw Task Responses'!$B:$B,$A15,'Raw Task Responses'!$D:$D,"Baseline",'Raw Task Responses'!$P:$P,2))</f>
      </c>
      <c r="F15">
        <f>IF($A15="","",COUNTIFS('Raw Task Responses'!$B:$B,$A15,'Raw Task Responses'!$D:$D,"TraceGuide",'Raw Task Responses'!$P:$P,2))</f>
      </c>
      <c r="G15">
        <f>IF($A15="","",AVERAGEIFS('Raw Task Responses'!$R:$R,'Raw Task Responses'!$B:$B,$A15,'Raw Task Responses'!$D:$D,"Baseline"))</f>
      </c>
      <c r="H15">
        <f>IF($A15="","",AVERAGEIFS('Raw Task Responses'!$R:$R,'Raw Task Responses'!$B:$B,$A15,'Raw Task Responses'!$D:$D,"TraceGuide"))</f>
      </c>
      <c r="I15">
        <f>IF($A15="","",AVERAGEIFS('Post-test Raw'!$AB:$AB,'Post-test Raw'!$B:$B,$A15,'Post-test Raw'!$C:$C,"Baseline"))</f>
      </c>
      <c r="J15">
        <f>IF($A15="","",AVERAGEIFS('Post-test Raw'!$AB:$AB,'Post-test Raw'!$B:$B,$A15,'Post-test Raw'!$C:$C,"TraceGuide"))</f>
      </c>
      <c r="K15">
        <f>IF($A15="","",AVERAGEIFS('Post-test Raw'!$AC:$AC,'Post-test Raw'!$B:$B,$A15,'Post-test Raw'!$C:$C,"Baseline"))</f>
      </c>
      <c r="L15">
        <f>IF($A15="","",AVERAGEIFS('Post-test Raw'!$AC:$AC,'Post-test Raw'!$B:$B,$A15,'Post-test Raw'!$C:$C,"TraceGuide"))</f>
      </c>
      <c r="M15">
        <f>IF($A15="","",AVERAGEIFS('Post-test Raw'!$AD:$AD,'Post-test Raw'!$B:$B,$A15,'Post-test Raw'!$C:$C,"Baseline"))</f>
      </c>
      <c r="N15">
        <f>IF($A15="","",AVERAGEIFS('Post-test Raw'!$AD:$AD,'Post-test Raw'!$B:$B,$A15,'Post-test Raw'!$C:$C,"TraceGuide"))</f>
      </c>
      <c r="O15">
        <f>IF($A15="","",AVERAGEIFS('Post-test Raw'!$AE:$AE,'Post-test Raw'!$B:$B,$A15,'Post-test Raw'!$C:$C,"Baseline"))</f>
      </c>
      <c r="P15">
        <f>IF($A15="","",AVERAGEIFS('Post-test Raw'!$AE:$AE,'Post-test Raw'!$B:$B,$A15,'Post-test Raw'!$C:$C,"TraceGuide"))</f>
      </c>
    </row>
    <row r="16">
      <c r="A16">
        <f>IFERROR(INDEX(SORT(UNIQUE(FILTER('Raw Task Responses'!$B$2:$B$201,'Raw Task Responses'!$B$2:$B$201&lt;&gt;""))),ROW()-1),"")</f>
      </c>
      <c r="B16">
        <f>IF($A16="","",AVERAGEIFS('Raw Task Responses'!$P:$P,'Raw Task Responses'!$B:$B,$A16,'Raw Task Responses'!$D:$D,"Baseline"))</f>
      </c>
      <c r="C16">
        <f>IF($A16="","",AVERAGEIFS('Raw Task Responses'!$P:$P,'Raw Task Responses'!$B:$B,$A16,'Raw Task Responses'!$D:$D,"TraceGuide"))</f>
      </c>
      <c r="D16">
        <f>IF($A16="","",C16-B16)</f>
      </c>
      <c r="E16">
        <f>IF($A16="","",COUNTIFS('Raw Task Responses'!$B:$B,$A16,'Raw Task Responses'!$D:$D,"Baseline",'Raw Task Responses'!$P:$P,2))</f>
      </c>
      <c r="F16">
        <f>IF($A16="","",COUNTIFS('Raw Task Responses'!$B:$B,$A16,'Raw Task Responses'!$D:$D,"TraceGuide",'Raw Task Responses'!$P:$P,2))</f>
      </c>
      <c r="G16">
        <f>IF($A16="","",AVERAGEIFS('Raw Task Responses'!$R:$R,'Raw Task Responses'!$B:$B,$A16,'Raw Task Responses'!$D:$D,"Baseline"))</f>
      </c>
      <c r="H16">
        <f>IF($A16="","",AVERAGEIFS('Raw Task Responses'!$R:$R,'Raw Task Responses'!$B:$B,$A16,'Raw Task Responses'!$D:$D,"TraceGuide"))</f>
      </c>
      <c r="I16">
        <f>IF($A16="","",AVERAGEIFS('Post-test Raw'!$AB:$AB,'Post-test Raw'!$B:$B,$A16,'Post-test Raw'!$C:$C,"Baseline"))</f>
      </c>
      <c r="J16">
        <f>IF($A16="","",AVERAGEIFS('Post-test Raw'!$AB:$AB,'Post-test Raw'!$B:$B,$A16,'Post-test Raw'!$C:$C,"TraceGuide"))</f>
      </c>
      <c r="K16">
        <f>IF($A16="","",AVERAGEIFS('Post-test Raw'!$AC:$AC,'Post-test Raw'!$B:$B,$A16,'Post-test Raw'!$C:$C,"Baseline"))</f>
      </c>
      <c r="L16">
        <f>IF($A16="","",AVERAGEIFS('Post-test Raw'!$AC:$AC,'Post-test Raw'!$B:$B,$A16,'Post-test Raw'!$C:$C,"TraceGuide"))</f>
      </c>
      <c r="M16">
        <f>IF($A16="","",AVERAGEIFS('Post-test Raw'!$AD:$AD,'Post-test Raw'!$B:$B,$A16,'Post-test Raw'!$C:$C,"Baseline"))</f>
      </c>
      <c r="N16">
        <f>IF($A16="","",AVERAGEIFS('Post-test Raw'!$AD:$AD,'Post-test Raw'!$B:$B,$A16,'Post-test Raw'!$C:$C,"TraceGuide"))</f>
      </c>
      <c r="O16">
        <f>IF($A16="","",AVERAGEIFS('Post-test Raw'!$AE:$AE,'Post-test Raw'!$B:$B,$A16,'Post-test Raw'!$C:$C,"Baseline"))</f>
      </c>
      <c r="P16">
        <f>IF($A16="","",AVERAGEIFS('Post-test Raw'!$AE:$AE,'Post-test Raw'!$B:$B,$A16,'Post-test Raw'!$C:$C,"TraceGuide"))</f>
      </c>
    </row>
    <row r="17">
      <c r="A17">
        <f>IFERROR(INDEX(SORT(UNIQUE(FILTER('Raw Task Responses'!$B$2:$B$201,'Raw Task Responses'!$B$2:$B$201&lt;&gt;""))),ROW()-1),"")</f>
      </c>
      <c r="B17">
        <f>IF($A17="","",AVERAGEIFS('Raw Task Responses'!$P:$P,'Raw Task Responses'!$B:$B,$A17,'Raw Task Responses'!$D:$D,"Baseline"))</f>
      </c>
      <c r="C17">
        <f>IF($A17="","",AVERAGEIFS('Raw Task Responses'!$P:$P,'Raw Task Responses'!$B:$B,$A17,'Raw Task Responses'!$D:$D,"TraceGuide"))</f>
      </c>
      <c r="D17">
        <f>IF($A17="","",C17-B17)</f>
      </c>
      <c r="E17">
        <f>IF($A17="","",COUNTIFS('Raw Task Responses'!$B:$B,$A17,'Raw Task Responses'!$D:$D,"Baseline",'Raw Task Responses'!$P:$P,2))</f>
      </c>
      <c r="F17">
        <f>IF($A17="","",COUNTIFS('Raw Task Responses'!$B:$B,$A17,'Raw Task Responses'!$D:$D,"TraceGuide",'Raw Task Responses'!$P:$P,2))</f>
      </c>
      <c r="G17">
        <f>IF($A17="","",AVERAGEIFS('Raw Task Responses'!$R:$R,'Raw Task Responses'!$B:$B,$A17,'Raw Task Responses'!$D:$D,"Baseline"))</f>
      </c>
      <c r="H17">
        <f>IF($A17="","",AVERAGEIFS('Raw Task Responses'!$R:$R,'Raw Task Responses'!$B:$B,$A17,'Raw Task Responses'!$D:$D,"TraceGuide"))</f>
      </c>
      <c r="I17">
        <f>IF($A17="","",AVERAGEIFS('Post-test Raw'!$AB:$AB,'Post-test Raw'!$B:$B,$A17,'Post-test Raw'!$C:$C,"Baseline"))</f>
      </c>
      <c r="J17">
        <f>IF($A17="","",AVERAGEIFS('Post-test Raw'!$AB:$AB,'Post-test Raw'!$B:$B,$A17,'Post-test Raw'!$C:$C,"TraceGuide"))</f>
      </c>
      <c r="K17">
        <f>IF($A17="","",AVERAGEIFS('Post-test Raw'!$AC:$AC,'Post-test Raw'!$B:$B,$A17,'Post-test Raw'!$C:$C,"Baseline"))</f>
      </c>
      <c r="L17">
        <f>IF($A17="","",AVERAGEIFS('Post-test Raw'!$AC:$AC,'Post-test Raw'!$B:$B,$A17,'Post-test Raw'!$C:$C,"TraceGuide"))</f>
      </c>
      <c r="M17">
        <f>IF($A17="","",AVERAGEIFS('Post-test Raw'!$AD:$AD,'Post-test Raw'!$B:$B,$A17,'Post-test Raw'!$C:$C,"Baseline"))</f>
      </c>
      <c r="N17">
        <f>IF($A17="","",AVERAGEIFS('Post-test Raw'!$AD:$AD,'Post-test Raw'!$B:$B,$A17,'Post-test Raw'!$C:$C,"TraceGuide"))</f>
      </c>
      <c r="O17">
        <f>IF($A17="","",AVERAGEIFS('Post-test Raw'!$AE:$AE,'Post-test Raw'!$B:$B,$A17,'Post-test Raw'!$C:$C,"Baseline"))</f>
      </c>
      <c r="P17">
        <f>IF($A17="","",AVERAGEIFS('Post-test Raw'!$AE:$AE,'Post-test Raw'!$B:$B,$A17,'Post-test Raw'!$C:$C,"TraceGuide"))</f>
      </c>
    </row>
    <row r="18">
      <c r="A18">
        <f>IFERROR(INDEX(SORT(UNIQUE(FILTER('Raw Task Responses'!$B$2:$B$201,'Raw Task Responses'!$B$2:$B$201&lt;&gt;""))),ROW()-1),"")</f>
      </c>
      <c r="B18">
        <f>IF($A18="","",AVERAGEIFS('Raw Task Responses'!$P:$P,'Raw Task Responses'!$B:$B,$A18,'Raw Task Responses'!$D:$D,"Baseline"))</f>
      </c>
      <c r="C18">
        <f>IF($A18="","",AVERAGEIFS('Raw Task Responses'!$P:$P,'Raw Task Responses'!$B:$B,$A18,'Raw Task Responses'!$D:$D,"TraceGuide"))</f>
      </c>
      <c r="D18">
        <f>IF($A18="","",C18-B18)</f>
      </c>
      <c r="E18">
        <f>IF($A18="","",COUNTIFS('Raw Task Responses'!$B:$B,$A18,'Raw Task Responses'!$D:$D,"Baseline",'Raw Task Responses'!$P:$P,2))</f>
      </c>
      <c r="F18">
        <f>IF($A18="","",COUNTIFS('Raw Task Responses'!$B:$B,$A18,'Raw Task Responses'!$D:$D,"TraceGuide",'Raw Task Responses'!$P:$P,2))</f>
      </c>
      <c r="G18">
        <f>IF($A18="","",AVERAGEIFS('Raw Task Responses'!$R:$R,'Raw Task Responses'!$B:$B,$A18,'Raw Task Responses'!$D:$D,"Baseline"))</f>
      </c>
      <c r="H18">
        <f>IF($A18="","",AVERAGEIFS('Raw Task Responses'!$R:$R,'Raw Task Responses'!$B:$B,$A18,'Raw Task Responses'!$D:$D,"TraceGuide"))</f>
      </c>
      <c r="I18">
        <f>IF($A18="","",AVERAGEIFS('Post-test Raw'!$AB:$AB,'Post-test Raw'!$B:$B,$A18,'Post-test Raw'!$C:$C,"Baseline"))</f>
      </c>
      <c r="J18">
        <f>IF($A18="","",AVERAGEIFS('Post-test Raw'!$AB:$AB,'Post-test Raw'!$B:$B,$A18,'Post-test Raw'!$C:$C,"TraceGuide"))</f>
      </c>
      <c r="K18">
        <f>IF($A18="","",AVERAGEIFS('Post-test Raw'!$AC:$AC,'Post-test Raw'!$B:$B,$A18,'Post-test Raw'!$C:$C,"Baseline"))</f>
      </c>
      <c r="L18">
        <f>IF($A18="","",AVERAGEIFS('Post-test Raw'!$AC:$AC,'Post-test Raw'!$B:$B,$A18,'Post-test Raw'!$C:$C,"TraceGuide"))</f>
      </c>
      <c r="M18">
        <f>IF($A18="","",AVERAGEIFS('Post-test Raw'!$AD:$AD,'Post-test Raw'!$B:$B,$A18,'Post-test Raw'!$C:$C,"Baseline"))</f>
      </c>
      <c r="N18">
        <f>IF($A18="","",AVERAGEIFS('Post-test Raw'!$AD:$AD,'Post-test Raw'!$B:$B,$A18,'Post-test Raw'!$C:$C,"TraceGuide"))</f>
      </c>
      <c r="O18">
        <f>IF($A18="","",AVERAGEIFS('Post-test Raw'!$AE:$AE,'Post-test Raw'!$B:$B,$A18,'Post-test Raw'!$C:$C,"Baseline"))</f>
      </c>
      <c r="P18">
        <f>IF($A18="","",AVERAGEIFS('Post-test Raw'!$AE:$AE,'Post-test Raw'!$B:$B,$A18,'Post-test Raw'!$C:$C,"TraceGuide"))</f>
      </c>
    </row>
    <row r="19">
      <c r="A19">
        <f>IFERROR(INDEX(SORT(UNIQUE(FILTER('Raw Task Responses'!$B$2:$B$201,'Raw Task Responses'!$B$2:$B$201&lt;&gt;""))),ROW()-1),"")</f>
      </c>
      <c r="B19">
        <f>IF($A19="","",AVERAGEIFS('Raw Task Responses'!$P:$P,'Raw Task Responses'!$B:$B,$A19,'Raw Task Responses'!$D:$D,"Baseline"))</f>
      </c>
      <c r="C19">
        <f>IF($A19="","",AVERAGEIFS('Raw Task Responses'!$P:$P,'Raw Task Responses'!$B:$B,$A19,'Raw Task Responses'!$D:$D,"TraceGuide"))</f>
      </c>
      <c r="D19">
        <f>IF($A19="","",C19-B19)</f>
      </c>
      <c r="E19">
        <f>IF($A19="","",COUNTIFS('Raw Task Responses'!$B:$B,$A19,'Raw Task Responses'!$D:$D,"Baseline",'Raw Task Responses'!$P:$P,2))</f>
      </c>
      <c r="F19">
        <f>IF($A19="","",COUNTIFS('Raw Task Responses'!$B:$B,$A19,'Raw Task Responses'!$D:$D,"TraceGuide",'Raw Task Responses'!$P:$P,2))</f>
      </c>
      <c r="G19">
        <f>IF($A19="","",AVERAGEIFS('Raw Task Responses'!$R:$R,'Raw Task Responses'!$B:$B,$A19,'Raw Task Responses'!$D:$D,"Baseline"))</f>
      </c>
      <c r="H19">
        <f>IF($A19="","",AVERAGEIFS('Raw Task Responses'!$R:$R,'Raw Task Responses'!$B:$B,$A19,'Raw Task Responses'!$D:$D,"TraceGuide"))</f>
      </c>
      <c r="I19">
        <f>IF($A19="","",AVERAGEIFS('Post-test Raw'!$AB:$AB,'Post-test Raw'!$B:$B,$A19,'Post-test Raw'!$C:$C,"Baseline"))</f>
      </c>
      <c r="J19">
        <f>IF($A19="","",AVERAGEIFS('Post-test Raw'!$AB:$AB,'Post-test Raw'!$B:$B,$A19,'Post-test Raw'!$C:$C,"TraceGuide"))</f>
      </c>
      <c r="K19">
        <f>IF($A19="","",AVERAGEIFS('Post-test Raw'!$AC:$AC,'Post-test Raw'!$B:$B,$A19,'Post-test Raw'!$C:$C,"Baseline"))</f>
      </c>
      <c r="L19">
        <f>IF($A19="","",AVERAGEIFS('Post-test Raw'!$AC:$AC,'Post-test Raw'!$B:$B,$A19,'Post-test Raw'!$C:$C,"TraceGuide"))</f>
      </c>
      <c r="M19">
        <f>IF($A19="","",AVERAGEIFS('Post-test Raw'!$AD:$AD,'Post-test Raw'!$B:$B,$A19,'Post-test Raw'!$C:$C,"Baseline"))</f>
      </c>
      <c r="N19">
        <f>IF($A19="","",AVERAGEIFS('Post-test Raw'!$AD:$AD,'Post-test Raw'!$B:$B,$A19,'Post-test Raw'!$C:$C,"TraceGuide"))</f>
      </c>
      <c r="O19">
        <f>IF($A19="","",AVERAGEIFS('Post-test Raw'!$AE:$AE,'Post-test Raw'!$B:$B,$A19,'Post-test Raw'!$C:$C,"Baseline"))</f>
      </c>
      <c r="P19">
        <f>IF($A19="","",AVERAGEIFS('Post-test Raw'!$AE:$AE,'Post-test Raw'!$B:$B,$A19,'Post-test Raw'!$C:$C,"TraceGuide"))</f>
      </c>
    </row>
    <row r="20">
      <c r="A20">
        <f>IFERROR(INDEX(SORT(UNIQUE(FILTER('Raw Task Responses'!$B$2:$B$201,'Raw Task Responses'!$B$2:$B$201&lt;&gt;""))),ROW()-1),"")</f>
      </c>
      <c r="B20">
        <f>IF($A20="","",AVERAGEIFS('Raw Task Responses'!$P:$P,'Raw Task Responses'!$B:$B,$A20,'Raw Task Responses'!$D:$D,"Baseline"))</f>
      </c>
      <c r="C20">
        <f>IF($A20="","",AVERAGEIFS('Raw Task Responses'!$P:$P,'Raw Task Responses'!$B:$B,$A20,'Raw Task Responses'!$D:$D,"TraceGuide"))</f>
      </c>
      <c r="D20">
        <f>IF($A20="","",C20-B20)</f>
      </c>
      <c r="E20">
        <f>IF($A20="","",COUNTIFS('Raw Task Responses'!$B:$B,$A20,'Raw Task Responses'!$D:$D,"Baseline",'Raw Task Responses'!$P:$P,2))</f>
      </c>
      <c r="F20">
        <f>IF($A20="","",COUNTIFS('Raw Task Responses'!$B:$B,$A20,'Raw Task Responses'!$D:$D,"TraceGuide",'Raw Task Responses'!$P:$P,2))</f>
      </c>
      <c r="G20">
        <f>IF($A20="","",AVERAGEIFS('Raw Task Responses'!$R:$R,'Raw Task Responses'!$B:$B,$A20,'Raw Task Responses'!$D:$D,"Baseline"))</f>
      </c>
      <c r="H20">
        <f>IF($A20="","",AVERAGEIFS('Raw Task Responses'!$R:$R,'Raw Task Responses'!$B:$B,$A20,'Raw Task Responses'!$D:$D,"TraceGuide"))</f>
      </c>
      <c r="I20">
        <f>IF($A20="","",AVERAGEIFS('Post-test Raw'!$AB:$AB,'Post-test Raw'!$B:$B,$A20,'Post-test Raw'!$C:$C,"Baseline"))</f>
      </c>
      <c r="J20">
        <f>IF($A20="","",AVERAGEIFS('Post-test Raw'!$AB:$AB,'Post-test Raw'!$B:$B,$A20,'Post-test Raw'!$C:$C,"TraceGuide"))</f>
      </c>
      <c r="K20">
        <f>IF($A20="","",AVERAGEIFS('Post-test Raw'!$AC:$AC,'Post-test Raw'!$B:$B,$A20,'Post-test Raw'!$C:$C,"Baseline"))</f>
      </c>
      <c r="L20">
        <f>IF($A20="","",AVERAGEIFS('Post-test Raw'!$AC:$AC,'Post-test Raw'!$B:$B,$A20,'Post-test Raw'!$C:$C,"TraceGuide"))</f>
      </c>
      <c r="M20">
        <f>IF($A20="","",AVERAGEIFS('Post-test Raw'!$AD:$AD,'Post-test Raw'!$B:$B,$A20,'Post-test Raw'!$C:$C,"Baseline"))</f>
      </c>
      <c r="N20">
        <f>IF($A20="","",AVERAGEIFS('Post-test Raw'!$AD:$AD,'Post-test Raw'!$B:$B,$A20,'Post-test Raw'!$C:$C,"TraceGuide"))</f>
      </c>
      <c r="O20">
        <f>IF($A20="","",AVERAGEIFS('Post-test Raw'!$AE:$AE,'Post-test Raw'!$B:$B,$A20,'Post-test Raw'!$C:$C,"Baseline"))</f>
      </c>
      <c r="P20">
        <f>IF($A20="","",AVERAGEIFS('Post-test Raw'!$AE:$AE,'Post-test Raw'!$B:$B,$A20,'Post-test Raw'!$C:$C,"TraceGuide"))</f>
      </c>
    </row>
    <row r="21">
      <c r="A21">
        <f>IFERROR(INDEX(SORT(UNIQUE(FILTER('Raw Task Responses'!$B$2:$B$201,'Raw Task Responses'!$B$2:$B$201&lt;&gt;""))),ROW()-1),"")</f>
      </c>
      <c r="B21">
        <f>IF($A21="","",AVERAGEIFS('Raw Task Responses'!$P:$P,'Raw Task Responses'!$B:$B,$A21,'Raw Task Responses'!$D:$D,"Baseline"))</f>
      </c>
      <c r="C21">
        <f>IF($A21="","",AVERAGEIFS('Raw Task Responses'!$P:$P,'Raw Task Responses'!$B:$B,$A21,'Raw Task Responses'!$D:$D,"TraceGuide"))</f>
      </c>
      <c r="D21">
        <f>IF($A21="","",C21-B21)</f>
      </c>
      <c r="E21">
        <f>IF($A21="","",COUNTIFS('Raw Task Responses'!$B:$B,$A21,'Raw Task Responses'!$D:$D,"Baseline",'Raw Task Responses'!$P:$P,2))</f>
      </c>
      <c r="F21">
        <f>IF($A21="","",COUNTIFS('Raw Task Responses'!$B:$B,$A21,'Raw Task Responses'!$D:$D,"TraceGuide",'Raw Task Responses'!$P:$P,2))</f>
      </c>
      <c r="G21">
        <f>IF($A21="","",AVERAGEIFS('Raw Task Responses'!$R:$R,'Raw Task Responses'!$B:$B,$A21,'Raw Task Responses'!$D:$D,"Baseline"))</f>
      </c>
      <c r="H21">
        <f>IF($A21="","",AVERAGEIFS('Raw Task Responses'!$R:$R,'Raw Task Responses'!$B:$B,$A21,'Raw Task Responses'!$D:$D,"TraceGuide"))</f>
      </c>
      <c r="I21">
        <f>IF($A21="","",AVERAGEIFS('Post-test Raw'!$AB:$AB,'Post-test Raw'!$B:$B,$A21,'Post-test Raw'!$C:$C,"Baseline"))</f>
      </c>
      <c r="J21">
        <f>IF($A21="","",AVERAGEIFS('Post-test Raw'!$AB:$AB,'Post-test Raw'!$B:$B,$A21,'Post-test Raw'!$C:$C,"TraceGuide"))</f>
      </c>
      <c r="K21">
        <f>IF($A21="","",AVERAGEIFS('Post-test Raw'!$AC:$AC,'Post-test Raw'!$B:$B,$A21,'Post-test Raw'!$C:$C,"Baseline"))</f>
      </c>
      <c r="L21">
        <f>IF($A21="","",AVERAGEIFS('Post-test Raw'!$AC:$AC,'Post-test Raw'!$B:$B,$A21,'Post-test Raw'!$C:$C,"TraceGuide"))</f>
      </c>
      <c r="M21">
        <f>IF($A21="","",AVERAGEIFS('Post-test Raw'!$AD:$AD,'Post-test Raw'!$B:$B,$A21,'Post-test Raw'!$C:$C,"Baseline"))</f>
      </c>
      <c r="N21">
        <f>IF($A21="","",AVERAGEIFS('Post-test Raw'!$AD:$AD,'Post-test Raw'!$B:$B,$A21,'Post-test Raw'!$C:$C,"TraceGuide"))</f>
      </c>
      <c r="O21">
        <f>IF($A21="","",AVERAGEIFS('Post-test Raw'!$AE:$AE,'Post-test Raw'!$B:$B,$A21,'Post-test Raw'!$C:$C,"Baseline"))</f>
      </c>
      <c r="P21">
        <f>IF($A21="","",AVERAGEIFS('Post-test Raw'!$AE:$AE,'Post-test Raw'!$B:$B,$A21,'Post-test Raw'!$C:$C,"TraceGuide"))</f>
      </c>
    </row>
    <row r="22">
      <c r="A22">
        <f>IFERROR(INDEX(SORT(UNIQUE(FILTER('Raw Task Responses'!$B$2:$B$201,'Raw Task Responses'!$B$2:$B$201&lt;&gt;""))),ROW()-1),"")</f>
      </c>
      <c r="B22">
        <f>IF($A22="","",AVERAGEIFS('Raw Task Responses'!$P:$P,'Raw Task Responses'!$B:$B,$A22,'Raw Task Responses'!$D:$D,"Baseline"))</f>
      </c>
      <c r="C22">
        <f>IF($A22="","",AVERAGEIFS('Raw Task Responses'!$P:$P,'Raw Task Responses'!$B:$B,$A22,'Raw Task Responses'!$D:$D,"TraceGuide"))</f>
      </c>
      <c r="D22">
        <f>IF($A22="","",C22-B22)</f>
      </c>
      <c r="E22">
        <f>IF($A22="","",COUNTIFS('Raw Task Responses'!$B:$B,$A22,'Raw Task Responses'!$D:$D,"Baseline",'Raw Task Responses'!$P:$P,2))</f>
      </c>
      <c r="F22">
        <f>IF($A22="","",COUNTIFS('Raw Task Responses'!$B:$B,$A22,'Raw Task Responses'!$D:$D,"TraceGuide",'Raw Task Responses'!$P:$P,2))</f>
      </c>
      <c r="G22">
        <f>IF($A22="","",AVERAGEIFS('Raw Task Responses'!$R:$R,'Raw Task Responses'!$B:$B,$A22,'Raw Task Responses'!$D:$D,"Baseline"))</f>
      </c>
      <c r="H22">
        <f>IF($A22="","",AVERAGEIFS('Raw Task Responses'!$R:$R,'Raw Task Responses'!$B:$B,$A22,'Raw Task Responses'!$D:$D,"TraceGuide"))</f>
      </c>
      <c r="I22">
        <f>IF($A22="","",AVERAGEIFS('Post-test Raw'!$AB:$AB,'Post-test Raw'!$B:$B,$A22,'Post-test Raw'!$C:$C,"Baseline"))</f>
      </c>
      <c r="J22">
        <f>IF($A22="","",AVERAGEIFS('Post-test Raw'!$AB:$AB,'Post-test Raw'!$B:$B,$A22,'Post-test Raw'!$C:$C,"TraceGuide"))</f>
      </c>
      <c r="K22">
        <f>IF($A22="","",AVERAGEIFS('Post-test Raw'!$AC:$AC,'Post-test Raw'!$B:$B,$A22,'Post-test Raw'!$C:$C,"Baseline"))</f>
      </c>
      <c r="L22">
        <f>IF($A22="","",AVERAGEIFS('Post-test Raw'!$AC:$AC,'Post-test Raw'!$B:$B,$A22,'Post-test Raw'!$C:$C,"TraceGuide"))</f>
      </c>
      <c r="M22">
        <f>IF($A22="","",AVERAGEIFS('Post-test Raw'!$AD:$AD,'Post-test Raw'!$B:$B,$A22,'Post-test Raw'!$C:$C,"Baseline"))</f>
      </c>
      <c r="N22">
        <f>IF($A22="","",AVERAGEIFS('Post-test Raw'!$AD:$AD,'Post-test Raw'!$B:$B,$A22,'Post-test Raw'!$C:$C,"TraceGuide"))</f>
      </c>
      <c r="O22">
        <f>IF($A22="","",AVERAGEIFS('Post-test Raw'!$AE:$AE,'Post-test Raw'!$B:$B,$A22,'Post-test Raw'!$C:$C,"Baseline"))</f>
      </c>
      <c r="P22">
        <f>IF($A22="","",AVERAGEIFS('Post-test Raw'!$AE:$AE,'Post-test Raw'!$B:$B,$A22,'Post-test Raw'!$C:$C,"TraceGuide"))</f>
      </c>
    </row>
    <row r="23">
      <c r="A23">
        <f>IFERROR(INDEX(SORT(UNIQUE(FILTER('Raw Task Responses'!$B$2:$B$201,'Raw Task Responses'!$B$2:$B$201&lt;&gt;""))),ROW()-1),"")</f>
      </c>
      <c r="B23">
        <f>IF($A23="","",AVERAGEIFS('Raw Task Responses'!$P:$P,'Raw Task Responses'!$B:$B,$A23,'Raw Task Responses'!$D:$D,"Baseline"))</f>
      </c>
      <c r="C23">
        <f>IF($A23="","",AVERAGEIFS('Raw Task Responses'!$P:$P,'Raw Task Responses'!$B:$B,$A23,'Raw Task Responses'!$D:$D,"TraceGuide"))</f>
      </c>
      <c r="D23">
        <f>IF($A23="","",C23-B23)</f>
      </c>
      <c r="E23">
        <f>IF($A23="","",COUNTIFS('Raw Task Responses'!$B:$B,$A23,'Raw Task Responses'!$D:$D,"Baseline",'Raw Task Responses'!$P:$P,2))</f>
      </c>
      <c r="F23">
        <f>IF($A23="","",COUNTIFS('Raw Task Responses'!$B:$B,$A23,'Raw Task Responses'!$D:$D,"TraceGuide",'Raw Task Responses'!$P:$P,2))</f>
      </c>
      <c r="G23">
        <f>IF($A23="","",AVERAGEIFS('Raw Task Responses'!$R:$R,'Raw Task Responses'!$B:$B,$A23,'Raw Task Responses'!$D:$D,"Baseline"))</f>
      </c>
      <c r="H23">
        <f>IF($A23="","",AVERAGEIFS('Raw Task Responses'!$R:$R,'Raw Task Responses'!$B:$B,$A23,'Raw Task Responses'!$D:$D,"TraceGuide"))</f>
      </c>
      <c r="I23">
        <f>IF($A23="","",AVERAGEIFS('Post-test Raw'!$AB:$AB,'Post-test Raw'!$B:$B,$A23,'Post-test Raw'!$C:$C,"Baseline"))</f>
      </c>
      <c r="J23">
        <f>IF($A23="","",AVERAGEIFS('Post-test Raw'!$AB:$AB,'Post-test Raw'!$B:$B,$A23,'Post-test Raw'!$C:$C,"TraceGuide"))</f>
      </c>
      <c r="K23">
        <f>IF($A23="","",AVERAGEIFS('Post-test Raw'!$AC:$AC,'Post-test Raw'!$B:$B,$A23,'Post-test Raw'!$C:$C,"Baseline"))</f>
      </c>
      <c r="L23">
        <f>IF($A23="","",AVERAGEIFS('Post-test Raw'!$AC:$AC,'Post-test Raw'!$B:$B,$A23,'Post-test Raw'!$C:$C,"TraceGuide"))</f>
      </c>
      <c r="M23">
        <f>IF($A23="","",AVERAGEIFS('Post-test Raw'!$AD:$AD,'Post-test Raw'!$B:$B,$A23,'Post-test Raw'!$C:$C,"Baseline"))</f>
      </c>
      <c r="N23">
        <f>IF($A23="","",AVERAGEIFS('Post-test Raw'!$AD:$AD,'Post-test Raw'!$B:$B,$A23,'Post-test Raw'!$C:$C,"TraceGuide"))</f>
      </c>
      <c r="O23">
        <f>IF($A23="","",AVERAGEIFS('Post-test Raw'!$AE:$AE,'Post-test Raw'!$B:$B,$A23,'Post-test Raw'!$C:$C,"Baseline"))</f>
      </c>
      <c r="P23">
        <f>IF($A23="","",AVERAGEIFS('Post-test Raw'!$AE:$AE,'Post-test Raw'!$B:$B,$A23,'Post-test Raw'!$C:$C,"TraceGuide"))</f>
      </c>
    </row>
    <row r="24">
      <c r="A24">
        <f>IFERROR(INDEX(SORT(UNIQUE(FILTER('Raw Task Responses'!$B$2:$B$201,'Raw Task Responses'!$B$2:$B$201&lt;&gt;""))),ROW()-1),"")</f>
      </c>
      <c r="B24">
        <f>IF($A24="","",AVERAGEIFS('Raw Task Responses'!$P:$P,'Raw Task Responses'!$B:$B,$A24,'Raw Task Responses'!$D:$D,"Baseline"))</f>
      </c>
      <c r="C24">
        <f>IF($A24="","",AVERAGEIFS('Raw Task Responses'!$P:$P,'Raw Task Responses'!$B:$B,$A24,'Raw Task Responses'!$D:$D,"TraceGuide"))</f>
      </c>
      <c r="D24">
        <f>IF($A24="","",C24-B24)</f>
      </c>
      <c r="E24">
        <f>IF($A24="","",COUNTIFS('Raw Task Responses'!$B:$B,$A24,'Raw Task Responses'!$D:$D,"Baseline",'Raw Task Responses'!$P:$P,2))</f>
      </c>
      <c r="F24">
        <f>IF($A24="","",COUNTIFS('Raw Task Responses'!$B:$B,$A24,'Raw Task Responses'!$D:$D,"TraceGuide",'Raw Task Responses'!$P:$P,2))</f>
      </c>
      <c r="G24">
        <f>IF($A24="","",AVERAGEIFS('Raw Task Responses'!$R:$R,'Raw Task Responses'!$B:$B,$A24,'Raw Task Responses'!$D:$D,"Baseline"))</f>
      </c>
      <c r="H24">
        <f>IF($A24="","",AVERAGEIFS('Raw Task Responses'!$R:$R,'Raw Task Responses'!$B:$B,$A24,'Raw Task Responses'!$D:$D,"TraceGuide"))</f>
      </c>
      <c r="I24">
        <f>IF($A24="","",AVERAGEIFS('Post-test Raw'!$AB:$AB,'Post-test Raw'!$B:$B,$A24,'Post-test Raw'!$C:$C,"Baseline"))</f>
      </c>
      <c r="J24">
        <f>IF($A24="","",AVERAGEIFS('Post-test Raw'!$AB:$AB,'Post-test Raw'!$B:$B,$A24,'Post-test Raw'!$C:$C,"TraceGuide"))</f>
      </c>
      <c r="K24">
        <f>IF($A24="","",AVERAGEIFS('Post-test Raw'!$AC:$AC,'Post-test Raw'!$B:$B,$A24,'Post-test Raw'!$C:$C,"Baseline"))</f>
      </c>
      <c r="L24">
        <f>IF($A24="","",AVERAGEIFS('Post-test Raw'!$AC:$AC,'Post-test Raw'!$B:$B,$A24,'Post-test Raw'!$C:$C,"TraceGuide"))</f>
      </c>
      <c r="M24">
        <f>IF($A24="","",AVERAGEIFS('Post-test Raw'!$AD:$AD,'Post-test Raw'!$B:$B,$A24,'Post-test Raw'!$C:$C,"Baseline"))</f>
      </c>
      <c r="N24">
        <f>IF($A24="","",AVERAGEIFS('Post-test Raw'!$AD:$AD,'Post-test Raw'!$B:$B,$A24,'Post-test Raw'!$C:$C,"TraceGuide"))</f>
      </c>
      <c r="O24">
        <f>IF($A24="","",AVERAGEIFS('Post-test Raw'!$AE:$AE,'Post-test Raw'!$B:$B,$A24,'Post-test Raw'!$C:$C,"Baseline"))</f>
      </c>
      <c r="P24">
        <f>IF($A24="","",AVERAGEIFS('Post-test Raw'!$AE:$AE,'Post-test Raw'!$B:$B,$A24,'Post-test Raw'!$C:$C,"TraceGuide"))</f>
      </c>
    </row>
    <row r="25">
      <c r="A25">
        <f>IFERROR(INDEX(SORT(UNIQUE(FILTER('Raw Task Responses'!$B$2:$B$201,'Raw Task Responses'!$B$2:$B$201&lt;&gt;""))),ROW()-1),"")</f>
      </c>
      <c r="B25">
        <f>IF($A25="","",AVERAGEIFS('Raw Task Responses'!$P:$P,'Raw Task Responses'!$B:$B,$A25,'Raw Task Responses'!$D:$D,"Baseline"))</f>
      </c>
      <c r="C25">
        <f>IF($A25="","",AVERAGEIFS('Raw Task Responses'!$P:$P,'Raw Task Responses'!$B:$B,$A25,'Raw Task Responses'!$D:$D,"TraceGuide"))</f>
      </c>
      <c r="D25">
        <f>IF($A25="","",C25-B25)</f>
      </c>
      <c r="E25">
        <f>IF($A25="","",COUNTIFS('Raw Task Responses'!$B:$B,$A25,'Raw Task Responses'!$D:$D,"Baseline",'Raw Task Responses'!$P:$P,2))</f>
      </c>
      <c r="F25">
        <f>IF($A25="","",COUNTIFS('Raw Task Responses'!$B:$B,$A25,'Raw Task Responses'!$D:$D,"TraceGuide",'Raw Task Responses'!$P:$P,2))</f>
      </c>
      <c r="G25">
        <f>IF($A25="","",AVERAGEIFS('Raw Task Responses'!$R:$R,'Raw Task Responses'!$B:$B,$A25,'Raw Task Responses'!$D:$D,"Baseline"))</f>
      </c>
      <c r="H25">
        <f>IF($A25="","",AVERAGEIFS('Raw Task Responses'!$R:$R,'Raw Task Responses'!$B:$B,$A25,'Raw Task Responses'!$D:$D,"TraceGuide"))</f>
      </c>
      <c r="I25">
        <f>IF($A25="","",AVERAGEIFS('Post-test Raw'!$AB:$AB,'Post-test Raw'!$B:$B,$A25,'Post-test Raw'!$C:$C,"Baseline"))</f>
      </c>
      <c r="J25">
        <f>IF($A25="","",AVERAGEIFS('Post-test Raw'!$AB:$AB,'Post-test Raw'!$B:$B,$A25,'Post-test Raw'!$C:$C,"TraceGuide"))</f>
      </c>
      <c r="K25">
        <f>IF($A25="","",AVERAGEIFS('Post-test Raw'!$AC:$AC,'Post-test Raw'!$B:$B,$A25,'Post-test Raw'!$C:$C,"Baseline"))</f>
      </c>
      <c r="L25">
        <f>IF($A25="","",AVERAGEIFS('Post-test Raw'!$AC:$AC,'Post-test Raw'!$B:$B,$A25,'Post-test Raw'!$C:$C,"TraceGuide"))</f>
      </c>
      <c r="M25">
        <f>IF($A25="","",AVERAGEIFS('Post-test Raw'!$AD:$AD,'Post-test Raw'!$B:$B,$A25,'Post-test Raw'!$C:$C,"Baseline"))</f>
      </c>
      <c r="N25">
        <f>IF($A25="","",AVERAGEIFS('Post-test Raw'!$AD:$AD,'Post-test Raw'!$B:$B,$A25,'Post-test Raw'!$C:$C,"TraceGuide"))</f>
      </c>
      <c r="O25">
        <f>IF($A25="","",AVERAGEIFS('Post-test Raw'!$AE:$AE,'Post-test Raw'!$B:$B,$A25,'Post-test Raw'!$C:$C,"Baseline"))</f>
      </c>
      <c r="P25">
        <f>IF($A25="","",AVERAGEIFS('Post-test Raw'!$AE:$AE,'Post-test Raw'!$B:$B,$A25,'Post-test Raw'!$C:$C,"TraceGuide"))</f>
      </c>
    </row>
    <row r="26">
      <c r="A26">
        <f>IFERROR(INDEX(SORT(UNIQUE(FILTER('Raw Task Responses'!$B$2:$B$201,'Raw Task Responses'!$B$2:$B$201&lt;&gt;""))),ROW()-1),"")</f>
      </c>
      <c r="B26">
        <f>IF($A26="","",AVERAGEIFS('Raw Task Responses'!$P:$P,'Raw Task Responses'!$B:$B,$A26,'Raw Task Responses'!$D:$D,"Baseline"))</f>
      </c>
      <c r="C26">
        <f>IF($A26="","",AVERAGEIFS('Raw Task Responses'!$P:$P,'Raw Task Responses'!$B:$B,$A26,'Raw Task Responses'!$D:$D,"TraceGuide"))</f>
      </c>
      <c r="D26">
        <f>IF($A26="","",C26-B26)</f>
      </c>
      <c r="E26">
        <f>IF($A26="","",COUNTIFS('Raw Task Responses'!$B:$B,$A26,'Raw Task Responses'!$D:$D,"Baseline",'Raw Task Responses'!$P:$P,2))</f>
      </c>
      <c r="F26">
        <f>IF($A26="","",COUNTIFS('Raw Task Responses'!$B:$B,$A26,'Raw Task Responses'!$D:$D,"TraceGuide",'Raw Task Responses'!$P:$P,2))</f>
      </c>
      <c r="G26">
        <f>IF($A26="","",AVERAGEIFS('Raw Task Responses'!$R:$R,'Raw Task Responses'!$B:$B,$A26,'Raw Task Responses'!$D:$D,"Baseline"))</f>
      </c>
      <c r="H26">
        <f>IF($A26="","",AVERAGEIFS('Raw Task Responses'!$R:$R,'Raw Task Responses'!$B:$B,$A26,'Raw Task Responses'!$D:$D,"TraceGuide"))</f>
      </c>
      <c r="I26">
        <f>IF($A26="","",AVERAGEIFS('Post-test Raw'!$AB:$AB,'Post-test Raw'!$B:$B,$A26,'Post-test Raw'!$C:$C,"Baseline"))</f>
      </c>
      <c r="J26">
        <f>IF($A26="","",AVERAGEIFS('Post-test Raw'!$AB:$AB,'Post-test Raw'!$B:$B,$A26,'Post-test Raw'!$C:$C,"TraceGuide"))</f>
      </c>
      <c r="K26">
        <f>IF($A26="","",AVERAGEIFS('Post-test Raw'!$AC:$AC,'Post-test Raw'!$B:$B,$A26,'Post-test Raw'!$C:$C,"Baseline"))</f>
      </c>
      <c r="L26">
        <f>IF($A26="","",AVERAGEIFS('Post-test Raw'!$AC:$AC,'Post-test Raw'!$B:$B,$A26,'Post-test Raw'!$C:$C,"TraceGuide"))</f>
      </c>
      <c r="M26">
        <f>IF($A26="","",AVERAGEIFS('Post-test Raw'!$AD:$AD,'Post-test Raw'!$B:$B,$A26,'Post-test Raw'!$C:$C,"Baseline"))</f>
      </c>
      <c r="N26">
        <f>IF($A26="","",AVERAGEIFS('Post-test Raw'!$AD:$AD,'Post-test Raw'!$B:$B,$A26,'Post-test Raw'!$C:$C,"TraceGuide"))</f>
      </c>
      <c r="O26">
        <f>IF($A26="","",AVERAGEIFS('Post-test Raw'!$AE:$AE,'Post-test Raw'!$B:$B,$A26,'Post-test Raw'!$C:$C,"Baseline"))</f>
      </c>
      <c r="P26">
        <f>IF($A26="","",AVERAGEIFS('Post-test Raw'!$AE:$AE,'Post-test Raw'!$B:$B,$A26,'Post-test Raw'!$C:$C,"TraceGuide"))</f>
      </c>
    </row>
    <row r="27">
      <c r="A27">
        <f>IFERROR(INDEX(SORT(UNIQUE(FILTER('Raw Task Responses'!$B$2:$B$201,'Raw Task Responses'!$B$2:$B$201&lt;&gt;""))),ROW()-1),"")</f>
      </c>
      <c r="B27">
        <f>IF($A27="","",AVERAGEIFS('Raw Task Responses'!$P:$P,'Raw Task Responses'!$B:$B,$A27,'Raw Task Responses'!$D:$D,"Baseline"))</f>
      </c>
      <c r="C27">
        <f>IF($A27="","",AVERAGEIFS('Raw Task Responses'!$P:$P,'Raw Task Responses'!$B:$B,$A27,'Raw Task Responses'!$D:$D,"TraceGuide"))</f>
      </c>
      <c r="D27">
        <f>IF($A27="","",C27-B27)</f>
      </c>
      <c r="E27">
        <f>IF($A27="","",COUNTIFS('Raw Task Responses'!$B:$B,$A27,'Raw Task Responses'!$D:$D,"Baseline",'Raw Task Responses'!$P:$P,2))</f>
      </c>
      <c r="F27">
        <f>IF($A27="","",COUNTIFS('Raw Task Responses'!$B:$B,$A27,'Raw Task Responses'!$D:$D,"TraceGuide",'Raw Task Responses'!$P:$P,2))</f>
      </c>
      <c r="G27">
        <f>IF($A27="","",AVERAGEIFS('Raw Task Responses'!$R:$R,'Raw Task Responses'!$B:$B,$A27,'Raw Task Responses'!$D:$D,"Baseline"))</f>
      </c>
      <c r="H27">
        <f>IF($A27="","",AVERAGEIFS('Raw Task Responses'!$R:$R,'Raw Task Responses'!$B:$B,$A27,'Raw Task Responses'!$D:$D,"TraceGuide"))</f>
      </c>
      <c r="I27">
        <f>IF($A27="","",AVERAGEIFS('Post-test Raw'!$AB:$AB,'Post-test Raw'!$B:$B,$A27,'Post-test Raw'!$C:$C,"Baseline"))</f>
      </c>
      <c r="J27">
        <f>IF($A27="","",AVERAGEIFS('Post-test Raw'!$AB:$AB,'Post-test Raw'!$B:$B,$A27,'Post-test Raw'!$C:$C,"TraceGuide"))</f>
      </c>
      <c r="K27">
        <f>IF($A27="","",AVERAGEIFS('Post-test Raw'!$AC:$AC,'Post-test Raw'!$B:$B,$A27,'Post-test Raw'!$C:$C,"Baseline"))</f>
      </c>
      <c r="L27">
        <f>IF($A27="","",AVERAGEIFS('Post-test Raw'!$AC:$AC,'Post-test Raw'!$B:$B,$A27,'Post-test Raw'!$C:$C,"TraceGuide"))</f>
      </c>
      <c r="M27">
        <f>IF($A27="","",AVERAGEIFS('Post-test Raw'!$AD:$AD,'Post-test Raw'!$B:$B,$A27,'Post-test Raw'!$C:$C,"Baseline"))</f>
      </c>
      <c r="N27">
        <f>IF($A27="","",AVERAGEIFS('Post-test Raw'!$AD:$AD,'Post-test Raw'!$B:$B,$A27,'Post-test Raw'!$C:$C,"TraceGuide"))</f>
      </c>
      <c r="O27">
        <f>IF($A27="","",AVERAGEIFS('Post-test Raw'!$AE:$AE,'Post-test Raw'!$B:$B,$A27,'Post-test Raw'!$C:$C,"Baseline"))</f>
      </c>
      <c r="P27">
        <f>IF($A27="","",AVERAGEIFS('Post-test Raw'!$AE:$AE,'Post-test Raw'!$B:$B,$A27,'Post-test Raw'!$C:$C,"TraceGuide"))</f>
      </c>
    </row>
    <row r="28">
      <c r="A28">
        <f>IFERROR(INDEX(SORT(UNIQUE(FILTER('Raw Task Responses'!$B$2:$B$201,'Raw Task Responses'!$B$2:$B$201&lt;&gt;""))),ROW()-1),"")</f>
      </c>
      <c r="B28">
        <f>IF($A28="","",AVERAGEIFS('Raw Task Responses'!$P:$P,'Raw Task Responses'!$B:$B,$A28,'Raw Task Responses'!$D:$D,"Baseline"))</f>
      </c>
      <c r="C28">
        <f>IF($A28="","",AVERAGEIFS('Raw Task Responses'!$P:$P,'Raw Task Responses'!$B:$B,$A28,'Raw Task Responses'!$D:$D,"TraceGuide"))</f>
      </c>
      <c r="D28">
        <f>IF($A28="","",C28-B28)</f>
      </c>
      <c r="E28">
        <f>IF($A28="","",COUNTIFS('Raw Task Responses'!$B:$B,$A28,'Raw Task Responses'!$D:$D,"Baseline",'Raw Task Responses'!$P:$P,2))</f>
      </c>
      <c r="F28">
        <f>IF($A28="","",COUNTIFS('Raw Task Responses'!$B:$B,$A28,'Raw Task Responses'!$D:$D,"TraceGuide",'Raw Task Responses'!$P:$P,2))</f>
      </c>
      <c r="G28">
        <f>IF($A28="","",AVERAGEIFS('Raw Task Responses'!$R:$R,'Raw Task Responses'!$B:$B,$A28,'Raw Task Responses'!$D:$D,"Baseline"))</f>
      </c>
      <c r="H28">
        <f>IF($A28="","",AVERAGEIFS('Raw Task Responses'!$R:$R,'Raw Task Responses'!$B:$B,$A28,'Raw Task Responses'!$D:$D,"TraceGuide"))</f>
      </c>
      <c r="I28">
        <f>IF($A28="","",AVERAGEIFS('Post-test Raw'!$AB:$AB,'Post-test Raw'!$B:$B,$A28,'Post-test Raw'!$C:$C,"Baseline"))</f>
      </c>
      <c r="J28">
        <f>IF($A28="","",AVERAGEIFS('Post-test Raw'!$AB:$AB,'Post-test Raw'!$B:$B,$A28,'Post-test Raw'!$C:$C,"TraceGuide"))</f>
      </c>
      <c r="K28">
        <f>IF($A28="","",AVERAGEIFS('Post-test Raw'!$AC:$AC,'Post-test Raw'!$B:$B,$A28,'Post-test Raw'!$C:$C,"Baseline"))</f>
      </c>
      <c r="L28">
        <f>IF($A28="","",AVERAGEIFS('Post-test Raw'!$AC:$AC,'Post-test Raw'!$B:$B,$A28,'Post-test Raw'!$C:$C,"TraceGuide"))</f>
      </c>
      <c r="M28">
        <f>IF($A28="","",AVERAGEIFS('Post-test Raw'!$AD:$AD,'Post-test Raw'!$B:$B,$A28,'Post-test Raw'!$C:$C,"Baseline"))</f>
      </c>
      <c r="N28">
        <f>IF($A28="","",AVERAGEIFS('Post-test Raw'!$AD:$AD,'Post-test Raw'!$B:$B,$A28,'Post-test Raw'!$C:$C,"TraceGuide"))</f>
      </c>
      <c r="O28">
        <f>IF($A28="","",AVERAGEIFS('Post-test Raw'!$AE:$AE,'Post-test Raw'!$B:$B,$A28,'Post-test Raw'!$C:$C,"Baseline"))</f>
      </c>
      <c r="P28">
        <f>IF($A28="","",AVERAGEIFS('Post-test Raw'!$AE:$AE,'Post-test Raw'!$B:$B,$A28,'Post-test Raw'!$C:$C,"TraceGuide"))</f>
      </c>
    </row>
    <row r="29">
      <c r="A29">
        <f>IFERROR(INDEX(SORT(UNIQUE(FILTER('Raw Task Responses'!$B$2:$B$201,'Raw Task Responses'!$B$2:$B$201&lt;&gt;""))),ROW()-1),"")</f>
      </c>
      <c r="B29">
        <f>IF($A29="","",AVERAGEIFS('Raw Task Responses'!$P:$P,'Raw Task Responses'!$B:$B,$A29,'Raw Task Responses'!$D:$D,"Baseline"))</f>
      </c>
      <c r="C29">
        <f>IF($A29="","",AVERAGEIFS('Raw Task Responses'!$P:$P,'Raw Task Responses'!$B:$B,$A29,'Raw Task Responses'!$D:$D,"TraceGuide"))</f>
      </c>
      <c r="D29">
        <f>IF($A29="","",C29-B29)</f>
      </c>
      <c r="E29">
        <f>IF($A29="","",COUNTIFS('Raw Task Responses'!$B:$B,$A29,'Raw Task Responses'!$D:$D,"Baseline",'Raw Task Responses'!$P:$P,2))</f>
      </c>
      <c r="F29">
        <f>IF($A29="","",COUNTIFS('Raw Task Responses'!$B:$B,$A29,'Raw Task Responses'!$D:$D,"TraceGuide",'Raw Task Responses'!$P:$P,2))</f>
      </c>
      <c r="G29">
        <f>IF($A29="","",AVERAGEIFS('Raw Task Responses'!$R:$R,'Raw Task Responses'!$B:$B,$A29,'Raw Task Responses'!$D:$D,"Baseline"))</f>
      </c>
      <c r="H29">
        <f>IF($A29="","",AVERAGEIFS('Raw Task Responses'!$R:$R,'Raw Task Responses'!$B:$B,$A29,'Raw Task Responses'!$D:$D,"TraceGuide"))</f>
      </c>
      <c r="I29">
        <f>IF($A29="","",AVERAGEIFS('Post-test Raw'!$AB:$AB,'Post-test Raw'!$B:$B,$A29,'Post-test Raw'!$C:$C,"Baseline"))</f>
      </c>
      <c r="J29">
        <f>IF($A29="","",AVERAGEIFS('Post-test Raw'!$AB:$AB,'Post-test Raw'!$B:$B,$A29,'Post-test Raw'!$C:$C,"TraceGuide"))</f>
      </c>
      <c r="K29">
        <f>IF($A29="","",AVERAGEIFS('Post-test Raw'!$AC:$AC,'Post-test Raw'!$B:$B,$A29,'Post-test Raw'!$C:$C,"Baseline"))</f>
      </c>
      <c r="L29">
        <f>IF($A29="","",AVERAGEIFS('Post-test Raw'!$AC:$AC,'Post-test Raw'!$B:$B,$A29,'Post-test Raw'!$C:$C,"TraceGuide"))</f>
      </c>
      <c r="M29">
        <f>IF($A29="","",AVERAGEIFS('Post-test Raw'!$AD:$AD,'Post-test Raw'!$B:$B,$A29,'Post-test Raw'!$C:$C,"Baseline"))</f>
      </c>
      <c r="N29">
        <f>IF($A29="","",AVERAGEIFS('Post-test Raw'!$AD:$AD,'Post-test Raw'!$B:$B,$A29,'Post-test Raw'!$C:$C,"TraceGuide"))</f>
      </c>
      <c r="O29">
        <f>IF($A29="","",AVERAGEIFS('Post-test Raw'!$AE:$AE,'Post-test Raw'!$B:$B,$A29,'Post-test Raw'!$C:$C,"Baseline"))</f>
      </c>
      <c r="P29">
        <f>IF($A29="","",AVERAGEIFS('Post-test Raw'!$AE:$AE,'Post-test Raw'!$B:$B,$A29,'Post-test Raw'!$C:$C,"TraceGuide"))</f>
      </c>
    </row>
    <row r="30">
      <c r="A30">
        <f>IFERROR(INDEX(SORT(UNIQUE(FILTER('Raw Task Responses'!$B$2:$B$201,'Raw Task Responses'!$B$2:$B$201&lt;&gt;""))),ROW()-1),"")</f>
      </c>
      <c r="B30">
        <f>IF($A30="","",AVERAGEIFS('Raw Task Responses'!$P:$P,'Raw Task Responses'!$B:$B,$A30,'Raw Task Responses'!$D:$D,"Baseline"))</f>
      </c>
      <c r="C30">
        <f>IF($A30="","",AVERAGEIFS('Raw Task Responses'!$P:$P,'Raw Task Responses'!$B:$B,$A30,'Raw Task Responses'!$D:$D,"TraceGuide"))</f>
      </c>
      <c r="D30">
        <f>IF($A30="","",C30-B30)</f>
      </c>
      <c r="E30">
        <f>IF($A30="","",COUNTIFS('Raw Task Responses'!$B:$B,$A30,'Raw Task Responses'!$D:$D,"Baseline",'Raw Task Responses'!$P:$P,2))</f>
      </c>
      <c r="F30">
        <f>IF($A30="","",COUNTIFS('Raw Task Responses'!$B:$B,$A30,'Raw Task Responses'!$D:$D,"TraceGuide",'Raw Task Responses'!$P:$P,2))</f>
      </c>
      <c r="G30">
        <f>IF($A30="","",AVERAGEIFS('Raw Task Responses'!$R:$R,'Raw Task Responses'!$B:$B,$A30,'Raw Task Responses'!$D:$D,"Baseline"))</f>
      </c>
      <c r="H30">
        <f>IF($A30="","",AVERAGEIFS('Raw Task Responses'!$R:$R,'Raw Task Responses'!$B:$B,$A30,'Raw Task Responses'!$D:$D,"TraceGuide"))</f>
      </c>
      <c r="I30">
        <f>IF($A30="","",AVERAGEIFS('Post-test Raw'!$AB:$AB,'Post-test Raw'!$B:$B,$A30,'Post-test Raw'!$C:$C,"Baseline"))</f>
      </c>
      <c r="J30">
        <f>IF($A30="","",AVERAGEIFS('Post-test Raw'!$AB:$AB,'Post-test Raw'!$B:$B,$A30,'Post-test Raw'!$C:$C,"TraceGuide"))</f>
      </c>
      <c r="K30">
        <f>IF($A30="","",AVERAGEIFS('Post-test Raw'!$AC:$AC,'Post-test Raw'!$B:$B,$A30,'Post-test Raw'!$C:$C,"Baseline"))</f>
      </c>
      <c r="L30">
        <f>IF($A30="","",AVERAGEIFS('Post-test Raw'!$AC:$AC,'Post-test Raw'!$B:$B,$A30,'Post-test Raw'!$C:$C,"TraceGuide"))</f>
      </c>
      <c r="M30">
        <f>IF($A30="","",AVERAGEIFS('Post-test Raw'!$AD:$AD,'Post-test Raw'!$B:$B,$A30,'Post-test Raw'!$C:$C,"Baseline"))</f>
      </c>
      <c r="N30">
        <f>IF($A30="","",AVERAGEIFS('Post-test Raw'!$AD:$AD,'Post-test Raw'!$B:$B,$A30,'Post-test Raw'!$C:$C,"TraceGuide"))</f>
      </c>
      <c r="O30">
        <f>IF($A30="","",AVERAGEIFS('Post-test Raw'!$AE:$AE,'Post-test Raw'!$B:$B,$A30,'Post-test Raw'!$C:$C,"Baseline"))</f>
      </c>
      <c r="P30">
        <f>IF($A30="","",AVERAGEIFS('Post-test Raw'!$AE:$AE,'Post-test Raw'!$B:$B,$A30,'Post-test Raw'!$C:$C,"TraceGuide"))</f>
      </c>
    </row>
    <row r="31">
      <c r="A31">
        <f>IFERROR(INDEX(SORT(UNIQUE(FILTER('Raw Task Responses'!$B$2:$B$201,'Raw Task Responses'!$B$2:$B$201&lt;&gt;""))),ROW()-1),"")</f>
      </c>
      <c r="B31">
        <f>IF($A31="","",AVERAGEIFS('Raw Task Responses'!$P:$P,'Raw Task Responses'!$B:$B,$A31,'Raw Task Responses'!$D:$D,"Baseline"))</f>
      </c>
      <c r="C31">
        <f>IF($A31="","",AVERAGEIFS('Raw Task Responses'!$P:$P,'Raw Task Responses'!$B:$B,$A31,'Raw Task Responses'!$D:$D,"TraceGuide"))</f>
      </c>
      <c r="D31">
        <f>IF($A31="","",C31-B31)</f>
      </c>
      <c r="E31">
        <f>IF($A31="","",COUNTIFS('Raw Task Responses'!$B:$B,$A31,'Raw Task Responses'!$D:$D,"Baseline",'Raw Task Responses'!$P:$P,2))</f>
      </c>
      <c r="F31">
        <f>IF($A31="","",COUNTIFS('Raw Task Responses'!$B:$B,$A31,'Raw Task Responses'!$D:$D,"TraceGuide",'Raw Task Responses'!$P:$P,2))</f>
      </c>
      <c r="G31">
        <f>IF($A31="","",AVERAGEIFS('Raw Task Responses'!$R:$R,'Raw Task Responses'!$B:$B,$A31,'Raw Task Responses'!$D:$D,"Baseline"))</f>
      </c>
      <c r="H31">
        <f>IF($A31="","",AVERAGEIFS('Raw Task Responses'!$R:$R,'Raw Task Responses'!$B:$B,$A31,'Raw Task Responses'!$D:$D,"TraceGuide"))</f>
      </c>
      <c r="I31">
        <f>IF($A31="","",AVERAGEIFS('Post-test Raw'!$AB:$AB,'Post-test Raw'!$B:$B,$A31,'Post-test Raw'!$C:$C,"Baseline"))</f>
      </c>
      <c r="J31">
        <f>IF($A31="","",AVERAGEIFS('Post-test Raw'!$AB:$AB,'Post-test Raw'!$B:$B,$A31,'Post-test Raw'!$C:$C,"TraceGuide"))</f>
      </c>
      <c r="K31">
        <f>IF($A31="","",AVERAGEIFS('Post-test Raw'!$AC:$AC,'Post-test Raw'!$B:$B,$A31,'Post-test Raw'!$C:$C,"Baseline"))</f>
      </c>
      <c r="L31">
        <f>IF($A31="","",AVERAGEIFS('Post-test Raw'!$AC:$AC,'Post-test Raw'!$B:$B,$A31,'Post-test Raw'!$C:$C,"TraceGuide"))</f>
      </c>
      <c r="M31">
        <f>IF($A31="","",AVERAGEIFS('Post-test Raw'!$AD:$AD,'Post-test Raw'!$B:$B,$A31,'Post-test Raw'!$C:$C,"Baseline"))</f>
      </c>
      <c r="N31">
        <f>IF($A31="","",AVERAGEIFS('Post-test Raw'!$AD:$AD,'Post-test Raw'!$B:$B,$A31,'Post-test Raw'!$C:$C,"TraceGuide"))</f>
      </c>
      <c r="O31">
        <f>IF($A31="","",AVERAGEIFS('Post-test Raw'!$AE:$AE,'Post-test Raw'!$B:$B,$A31,'Post-test Raw'!$C:$C,"Baseline"))</f>
      </c>
      <c r="P31">
        <f>IF($A31="","",AVERAGEIFS('Post-test Raw'!$AE:$AE,'Post-test Raw'!$B:$B,$A31,'Post-test Raw'!$C:$C,"TraceGuide"))</f>
      </c>
    </row>
    <row r="32">
      <c r="A32">
        <f>IFERROR(INDEX(SORT(UNIQUE(FILTER('Raw Task Responses'!$B$2:$B$201,'Raw Task Responses'!$B$2:$B$201&lt;&gt;""))),ROW()-1),"")</f>
      </c>
      <c r="B32">
        <f>IF($A32="","",AVERAGEIFS('Raw Task Responses'!$P:$P,'Raw Task Responses'!$B:$B,$A32,'Raw Task Responses'!$D:$D,"Baseline"))</f>
      </c>
      <c r="C32">
        <f>IF($A32="","",AVERAGEIFS('Raw Task Responses'!$P:$P,'Raw Task Responses'!$B:$B,$A32,'Raw Task Responses'!$D:$D,"TraceGuide"))</f>
      </c>
      <c r="D32">
        <f>IF($A32="","",C32-B32)</f>
      </c>
      <c r="E32">
        <f>IF($A32="","",COUNTIFS('Raw Task Responses'!$B:$B,$A32,'Raw Task Responses'!$D:$D,"Baseline",'Raw Task Responses'!$P:$P,2))</f>
      </c>
      <c r="F32">
        <f>IF($A32="","",COUNTIFS('Raw Task Responses'!$B:$B,$A32,'Raw Task Responses'!$D:$D,"TraceGuide",'Raw Task Responses'!$P:$P,2))</f>
      </c>
      <c r="G32">
        <f>IF($A32="","",AVERAGEIFS('Raw Task Responses'!$R:$R,'Raw Task Responses'!$B:$B,$A32,'Raw Task Responses'!$D:$D,"Baseline"))</f>
      </c>
      <c r="H32">
        <f>IF($A32="","",AVERAGEIFS('Raw Task Responses'!$R:$R,'Raw Task Responses'!$B:$B,$A32,'Raw Task Responses'!$D:$D,"TraceGuide"))</f>
      </c>
      <c r="I32">
        <f>IF($A32="","",AVERAGEIFS('Post-test Raw'!$AB:$AB,'Post-test Raw'!$B:$B,$A32,'Post-test Raw'!$C:$C,"Baseline"))</f>
      </c>
      <c r="J32">
        <f>IF($A32="","",AVERAGEIFS('Post-test Raw'!$AB:$AB,'Post-test Raw'!$B:$B,$A32,'Post-test Raw'!$C:$C,"TraceGuide"))</f>
      </c>
      <c r="K32">
        <f>IF($A32="","",AVERAGEIFS('Post-test Raw'!$AC:$AC,'Post-test Raw'!$B:$B,$A32,'Post-test Raw'!$C:$C,"Baseline"))</f>
      </c>
      <c r="L32">
        <f>IF($A32="","",AVERAGEIFS('Post-test Raw'!$AC:$AC,'Post-test Raw'!$B:$B,$A32,'Post-test Raw'!$C:$C,"TraceGuide"))</f>
      </c>
      <c r="M32">
        <f>IF($A32="","",AVERAGEIFS('Post-test Raw'!$AD:$AD,'Post-test Raw'!$B:$B,$A32,'Post-test Raw'!$C:$C,"Baseline"))</f>
      </c>
      <c r="N32">
        <f>IF($A32="","",AVERAGEIFS('Post-test Raw'!$AD:$AD,'Post-test Raw'!$B:$B,$A32,'Post-test Raw'!$C:$C,"TraceGuide"))</f>
      </c>
      <c r="O32">
        <f>IF($A32="","",AVERAGEIFS('Post-test Raw'!$AE:$AE,'Post-test Raw'!$B:$B,$A32,'Post-test Raw'!$C:$C,"Baseline"))</f>
      </c>
      <c r="P32">
        <f>IF($A32="","",AVERAGEIFS('Post-test Raw'!$AE:$AE,'Post-test Raw'!$B:$B,$A32,'Post-test Raw'!$C:$C,"TraceGuide"))</f>
      </c>
    </row>
    <row r="33">
      <c r="A33">
        <f>IFERROR(INDEX(SORT(UNIQUE(FILTER('Raw Task Responses'!$B$2:$B$201,'Raw Task Responses'!$B$2:$B$201&lt;&gt;""))),ROW()-1),"")</f>
      </c>
      <c r="B33">
        <f>IF($A33="","",AVERAGEIFS('Raw Task Responses'!$P:$P,'Raw Task Responses'!$B:$B,$A33,'Raw Task Responses'!$D:$D,"Baseline"))</f>
      </c>
      <c r="C33">
        <f>IF($A33="","",AVERAGEIFS('Raw Task Responses'!$P:$P,'Raw Task Responses'!$B:$B,$A33,'Raw Task Responses'!$D:$D,"TraceGuide"))</f>
      </c>
      <c r="D33">
        <f>IF($A33="","",C33-B33)</f>
      </c>
      <c r="E33">
        <f>IF($A33="","",COUNTIFS('Raw Task Responses'!$B:$B,$A33,'Raw Task Responses'!$D:$D,"Baseline",'Raw Task Responses'!$P:$P,2))</f>
      </c>
      <c r="F33">
        <f>IF($A33="","",COUNTIFS('Raw Task Responses'!$B:$B,$A33,'Raw Task Responses'!$D:$D,"TraceGuide",'Raw Task Responses'!$P:$P,2))</f>
      </c>
      <c r="G33">
        <f>IF($A33="","",AVERAGEIFS('Raw Task Responses'!$R:$R,'Raw Task Responses'!$B:$B,$A33,'Raw Task Responses'!$D:$D,"Baseline"))</f>
      </c>
      <c r="H33">
        <f>IF($A33="","",AVERAGEIFS('Raw Task Responses'!$R:$R,'Raw Task Responses'!$B:$B,$A33,'Raw Task Responses'!$D:$D,"TraceGuide"))</f>
      </c>
      <c r="I33">
        <f>IF($A33="","",AVERAGEIFS('Post-test Raw'!$AB:$AB,'Post-test Raw'!$B:$B,$A33,'Post-test Raw'!$C:$C,"Baseline"))</f>
      </c>
      <c r="J33">
        <f>IF($A33="","",AVERAGEIFS('Post-test Raw'!$AB:$AB,'Post-test Raw'!$B:$B,$A33,'Post-test Raw'!$C:$C,"TraceGuide"))</f>
      </c>
      <c r="K33">
        <f>IF($A33="","",AVERAGEIFS('Post-test Raw'!$AC:$AC,'Post-test Raw'!$B:$B,$A33,'Post-test Raw'!$C:$C,"Baseline"))</f>
      </c>
      <c r="L33">
        <f>IF($A33="","",AVERAGEIFS('Post-test Raw'!$AC:$AC,'Post-test Raw'!$B:$B,$A33,'Post-test Raw'!$C:$C,"TraceGuide"))</f>
      </c>
      <c r="M33">
        <f>IF($A33="","",AVERAGEIFS('Post-test Raw'!$AD:$AD,'Post-test Raw'!$B:$B,$A33,'Post-test Raw'!$C:$C,"Baseline"))</f>
      </c>
      <c r="N33">
        <f>IF($A33="","",AVERAGEIFS('Post-test Raw'!$AD:$AD,'Post-test Raw'!$B:$B,$A33,'Post-test Raw'!$C:$C,"TraceGuide"))</f>
      </c>
      <c r="O33">
        <f>IF($A33="","",AVERAGEIFS('Post-test Raw'!$AE:$AE,'Post-test Raw'!$B:$B,$A33,'Post-test Raw'!$C:$C,"Baseline"))</f>
      </c>
      <c r="P33">
        <f>IF($A33="","",AVERAGEIFS('Post-test Raw'!$AE:$AE,'Post-test Raw'!$B:$B,$A33,'Post-test Raw'!$C:$C,"TraceGuide"))</f>
      </c>
    </row>
    <row r="34">
      <c r="A34">
        <f>IFERROR(INDEX(SORT(UNIQUE(FILTER('Raw Task Responses'!$B$2:$B$201,'Raw Task Responses'!$B$2:$B$201&lt;&gt;""))),ROW()-1),"")</f>
      </c>
      <c r="B34">
        <f>IF($A34="","",AVERAGEIFS('Raw Task Responses'!$P:$P,'Raw Task Responses'!$B:$B,$A34,'Raw Task Responses'!$D:$D,"Baseline"))</f>
      </c>
      <c r="C34">
        <f>IF($A34="","",AVERAGEIFS('Raw Task Responses'!$P:$P,'Raw Task Responses'!$B:$B,$A34,'Raw Task Responses'!$D:$D,"TraceGuide"))</f>
      </c>
      <c r="D34">
        <f>IF($A34="","",C34-B34)</f>
      </c>
      <c r="E34">
        <f>IF($A34="","",COUNTIFS('Raw Task Responses'!$B:$B,$A34,'Raw Task Responses'!$D:$D,"Baseline",'Raw Task Responses'!$P:$P,2))</f>
      </c>
      <c r="F34">
        <f>IF($A34="","",COUNTIFS('Raw Task Responses'!$B:$B,$A34,'Raw Task Responses'!$D:$D,"TraceGuide",'Raw Task Responses'!$P:$P,2))</f>
      </c>
      <c r="G34">
        <f>IF($A34="","",AVERAGEIFS('Raw Task Responses'!$R:$R,'Raw Task Responses'!$B:$B,$A34,'Raw Task Responses'!$D:$D,"Baseline"))</f>
      </c>
      <c r="H34">
        <f>IF($A34="","",AVERAGEIFS('Raw Task Responses'!$R:$R,'Raw Task Responses'!$B:$B,$A34,'Raw Task Responses'!$D:$D,"TraceGuide"))</f>
      </c>
      <c r="I34">
        <f>IF($A34="","",AVERAGEIFS('Post-test Raw'!$AB:$AB,'Post-test Raw'!$B:$B,$A34,'Post-test Raw'!$C:$C,"Baseline"))</f>
      </c>
      <c r="J34">
        <f>IF($A34="","",AVERAGEIFS('Post-test Raw'!$AB:$AB,'Post-test Raw'!$B:$B,$A34,'Post-test Raw'!$C:$C,"TraceGuide"))</f>
      </c>
      <c r="K34">
        <f>IF($A34="","",AVERAGEIFS('Post-test Raw'!$AC:$AC,'Post-test Raw'!$B:$B,$A34,'Post-test Raw'!$C:$C,"Baseline"))</f>
      </c>
      <c r="L34">
        <f>IF($A34="","",AVERAGEIFS('Post-test Raw'!$AC:$AC,'Post-test Raw'!$B:$B,$A34,'Post-test Raw'!$C:$C,"TraceGuide"))</f>
      </c>
      <c r="M34">
        <f>IF($A34="","",AVERAGEIFS('Post-test Raw'!$AD:$AD,'Post-test Raw'!$B:$B,$A34,'Post-test Raw'!$C:$C,"Baseline"))</f>
      </c>
      <c r="N34">
        <f>IF($A34="","",AVERAGEIFS('Post-test Raw'!$AD:$AD,'Post-test Raw'!$B:$B,$A34,'Post-test Raw'!$C:$C,"TraceGuide"))</f>
      </c>
      <c r="O34">
        <f>IF($A34="","",AVERAGEIFS('Post-test Raw'!$AE:$AE,'Post-test Raw'!$B:$B,$A34,'Post-test Raw'!$C:$C,"Baseline"))</f>
      </c>
      <c r="P34">
        <f>IF($A34="","",AVERAGEIFS('Post-test Raw'!$AE:$AE,'Post-test Raw'!$B:$B,$A34,'Post-test Raw'!$C:$C,"TraceGuide"))</f>
      </c>
    </row>
    <row r="35">
      <c r="A35">
        <f>IFERROR(INDEX(SORT(UNIQUE(FILTER('Raw Task Responses'!$B$2:$B$201,'Raw Task Responses'!$B$2:$B$201&lt;&gt;""))),ROW()-1),"")</f>
      </c>
      <c r="B35">
        <f>IF($A35="","",AVERAGEIFS('Raw Task Responses'!$P:$P,'Raw Task Responses'!$B:$B,$A35,'Raw Task Responses'!$D:$D,"Baseline"))</f>
      </c>
      <c r="C35">
        <f>IF($A35="","",AVERAGEIFS('Raw Task Responses'!$P:$P,'Raw Task Responses'!$B:$B,$A35,'Raw Task Responses'!$D:$D,"TraceGuide"))</f>
      </c>
      <c r="D35">
        <f>IF($A35="","",C35-B35)</f>
      </c>
      <c r="E35">
        <f>IF($A35="","",COUNTIFS('Raw Task Responses'!$B:$B,$A35,'Raw Task Responses'!$D:$D,"Baseline",'Raw Task Responses'!$P:$P,2))</f>
      </c>
      <c r="F35">
        <f>IF($A35="","",COUNTIFS('Raw Task Responses'!$B:$B,$A35,'Raw Task Responses'!$D:$D,"TraceGuide",'Raw Task Responses'!$P:$P,2))</f>
      </c>
      <c r="G35">
        <f>IF($A35="","",AVERAGEIFS('Raw Task Responses'!$R:$R,'Raw Task Responses'!$B:$B,$A35,'Raw Task Responses'!$D:$D,"Baseline"))</f>
      </c>
      <c r="H35">
        <f>IF($A35="","",AVERAGEIFS('Raw Task Responses'!$R:$R,'Raw Task Responses'!$B:$B,$A35,'Raw Task Responses'!$D:$D,"TraceGuide"))</f>
      </c>
      <c r="I35">
        <f>IF($A35="","",AVERAGEIFS('Post-test Raw'!$AB:$AB,'Post-test Raw'!$B:$B,$A35,'Post-test Raw'!$C:$C,"Baseline"))</f>
      </c>
      <c r="J35">
        <f>IF($A35="","",AVERAGEIFS('Post-test Raw'!$AB:$AB,'Post-test Raw'!$B:$B,$A35,'Post-test Raw'!$C:$C,"TraceGuide"))</f>
      </c>
      <c r="K35">
        <f>IF($A35="","",AVERAGEIFS('Post-test Raw'!$AC:$AC,'Post-test Raw'!$B:$B,$A35,'Post-test Raw'!$C:$C,"Baseline"))</f>
      </c>
      <c r="L35">
        <f>IF($A35="","",AVERAGEIFS('Post-test Raw'!$AC:$AC,'Post-test Raw'!$B:$B,$A35,'Post-test Raw'!$C:$C,"TraceGuide"))</f>
      </c>
      <c r="M35">
        <f>IF($A35="","",AVERAGEIFS('Post-test Raw'!$AD:$AD,'Post-test Raw'!$B:$B,$A35,'Post-test Raw'!$C:$C,"Baseline"))</f>
      </c>
      <c r="N35">
        <f>IF($A35="","",AVERAGEIFS('Post-test Raw'!$AD:$AD,'Post-test Raw'!$B:$B,$A35,'Post-test Raw'!$C:$C,"TraceGuide"))</f>
      </c>
      <c r="O35">
        <f>IF($A35="","",AVERAGEIFS('Post-test Raw'!$AE:$AE,'Post-test Raw'!$B:$B,$A35,'Post-test Raw'!$C:$C,"Baseline"))</f>
      </c>
      <c r="P35">
        <f>IF($A35="","",AVERAGEIFS('Post-test Raw'!$AE:$AE,'Post-test Raw'!$B:$B,$A35,'Post-test Raw'!$C:$C,"TraceGuide"))</f>
      </c>
    </row>
    <row r="36">
      <c r="A36">
        <f>IFERROR(INDEX(SORT(UNIQUE(FILTER('Raw Task Responses'!$B$2:$B$201,'Raw Task Responses'!$B$2:$B$201&lt;&gt;""))),ROW()-1),"")</f>
      </c>
      <c r="B36">
        <f>IF($A36="","",AVERAGEIFS('Raw Task Responses'!$P:$P,'Raw Task Responses'!$B:$B,$A36,'Raw Task Responses'!$D:$D,"Baseline"))</f>
      </c>
      <c r="C36">
        <f>IF($A36="","",AVERAGEIFS('Raw Task Responses'!$P:$P,'Raw Task Responses'!$B:$B,$A36,'Raw Task Responses'!$D:$D,"TraceGuide"))</f>
      </c>
      <c r="D36">
        <f>IF($A36="","",C36-B36)</f>
      </c>
      <c r="E36">
        <f>IF($A36="","",COUNTIFS('Raw Task Responses'!$B:$B,$A36,'Raw Task Responses'!$D:$D,"Baseline",'Raw Task Responses'!$P:$P,2))</f>
      </c>
      <c r="F36">
        <f>IF($A36="","",COUNTIFS('Raw Task Responses'!$B:$B,$A36,'Raw Task Responses'!$D:$D,"TraceGuide",'Raw Task Responses'!$P:$P,2))</f>
      </c>
      <c r="G36">
        <f>IF($A36="","",AVERAGEIFS('Raw Task Responses'!$R:$R,'Raw Task Responses'!$B:$B,$A36,'Raw Task Responses'!$D:$D,"Baseline"))</f>
      </c>
      <c r="H36">
        <f>IF($A36="","",AVERAGEIFS('Raw Task Responses'!$R:$R,'Raw Task Responses'!$B:$B,$A36,'Raw Task Responses'!$D:$D,"TraceGuide"))</f>
      </c>
      <c r="I36">
        <f>IF($A36="","",AVERAGEIFS('Post-test Raw'!$AB:$AB,'Post-test Raw'!$B:$B,$A36,'Post-test Raw'!$C:$C,"Baseline"))</f>
      </c>
      <c r="J36">
        <f>IF($A36="","",AVERAGEIFS('Post-test Raw'!$AB:$AB,'Post-test Raw'!$B:$B,$A36,'Post-test Raw'!$C:$C,"TraceGuide"))</f>
      </c>
      <c r="K36">
        <f>IF($A36="","",AVERAGEIFS('Post-test Raw'!$AC:$AC,'Post-test Raw'!$B:$B,$A36,'Post-test Raw'!$C:$C,"Baseline"))</f>
      </c>
      <c r="L36">
        <f>IF($A36="","",AVERAGEIFS('Post-test Raw'!$AC:$AC,'Post-test Raw'!$B:$B,$A36,'Post-test Raw'!$C:$C,"TraceGuide"))</f>
      </c>
      <c r="M36">
        <f>IF($A36="","",AVERAGEIFS('Post-test Raw'!$AD:$AD,'Post-test Raw'!$B:$B,$A36,'Post-test Raw'!$C:$C,"Baseline"))</f>
      </c>
      <c r="N36">
        <f>IF($A36="","",AVERAGEIFS('Post-test Raw'!$AD:$AD,'Post-test Raw'!$B:$B,$A36,'Post-test Raw'!$C:$C,"TraceGuide"))</f>
      </c>
      <c r="O36">
        <f>IF($A36="","",AVERAGEIFS('Post-test Raw'!$AE:$AE,'Post-test Raw'!$B:$B,$A36,'Post-test Raw'!$C:$C,"Baseline"))</f>
      </c>
      <c r="P36">
        <f>IF($A36="","",AVERAGEIFS('Post-test Raw'!$AE:$AE,'Post-test Raw'!$B:$B,$A36,'Post-test Raw'!$C:$C,"TraceGuide"))</f>
      </c>
    </row>
    <row r="37">
      <c r="A37">
        <f>IFERROR(INDEX(SORT(UNIQUE(FILTER('Raw Task Responses'!$B$2:$B$201,'Raw Task Responses'!$B$2:$B$201&lt;&gt;""))),ROW()-1),"")</f>
      </c>
      <c r="B37">
        <f>IF($A37="","",AVERAGEIFS('Raw Task Responses'!$P:$P,'Raw Task Responses'!$B:$B,$A37,'Raw Task Responses'!$D:$D,"Baseline"))</f>
      </c>
      <c r="C37">
        <f>IF($A37="","",AVERAGEIFS('Raw Task Responses'!$P:$P,'Raw Task Responses'!$B:$B,$A37,'Raw Task Responses'!$D:$D,"TraceGuide"))</f>
      </c>
      <c r="D37">
        <f>IF($A37="","",C37-B37)</f>
      </c>
      <c r="E37">
        <f>IF($A37="","",COUNTIFS('Raw Task Responses'!$B:$B,$A37,'Raw Task Responses'!$D:$D,"Baseline",'Raw Task Responses'!$P:$P,2))</f>
      </c>
      <c r="F37">
        <f>IF($A37="","",COUNTIFS('Raw Task Responses'!$B:$B,$A37,'Raw Task Responses'!$D:$D,"TraceGuide",'Raw Task Responses'!$P:$P,2))</f>
      </c>
      <c r="G37">
        <f>IF($A37="","",AVERAGEIFS('Raw Task Responses'!$R:$R,'Raw Task Responses'!$B:$B,$A37,'Raw Task Responses'!$D:$D,"Baseline"))</f>
      </c>
      <c r="H37">
        <f>IF($A37="","",AVERAGEIFS('Raw Task Responses'!$R:$R,'Raw Task Responses'!$B:$B,$A37,'Raw Task Responses'!$D:$D,"TraceGuide"))</f>
      </c>
      <c r="I37">
        <f>IF($A37="","",AVERAGEIFS('Post-test Raw'!$AB:$AB,'Post-test Raw'!$B:$B,$A37,'Post-test Raw'!$C:$C,"Baseline"))</f>
      </c>
      <c r="J37">
        <f>IF($A37="","",AVERAGEIFS('Post-test Raw'!$AB:$AB,'Post-test Raw'!$B:$B,$A37,'Post-test Raw'!$C:$C,"TraceGuide"))</f>
      </c>
      <c r="K37">
        <f>IF($A37="","",AVERAGEIFS('Post-test Raw'!$AC:$AC,'Post-test Raw'!$B:$B,$A37,'Post-test Raw'!$C:$C,"Baseline"))</f>
      </c>
      <c r="L37">
        <f>IF($A37="","",AVERAGEIFS('Post-test Raw'!$AC:$AC,'Post-test Raw'!$B:$B,$A37,'Post-test Raw'!$C:$C,"TraceGuide"))</f>
      </c>
      <c r="M37">
        <f>IF($A37="","",AVERAGEIFS('Post-test Raw'!$AD:$AD,'Post-test Raw'!$B:$B,$A37,'Post-test Raw'!$C:$C,"Baseline"))</f>
      </c>
      <c r="N37">
        <f>IF($A37="","",AVERAGEIFS('Post-test Raw'!$AD:$AD,'Post-test Raw'!$B:$B,$A37,'Post-test Raw'!$C:$C,"TraceGuide"))</f>
      </c>
      <c r="O37">
        <f>IF($A37="","",AVERAGEIFS('Post-test Raw'!$AE:$AE,'Post-test Raw'!$B:$B,$A37,'Post-test Raw'!$C:$C,"Baseline"))</f>
      </c>
      <c r="P37">
        <f>IF($A37="","",AVERAGEIFS('Post-test Raw'!$AE:$AE,'Post-test Raw'!$B:$B,$A37,'Post-test Raw'!$C:$C,"TraceGuide"))</f>
      </c>
    </row>
    <row r="38">
      <c r="A38">
        <f>IFERROR(INDEX(SORT(UNIQUE(FILTER('Raw Task Responses'!$B$2:$B$201,'Raw Task Responses'!$B$2:$B$201&lt;&gt;""))),ROW()-1),"")</f>
      </c>
      <c r="B38">
        <f>IF($A38="","",AVERAGEIFS('Raw Task Responses'!$P:$P,'Raw Task Responses'!$B:$B,$A38,'Raw Task Responses'!$D:$D,"Baseline"))</f>
      </c>
      <c r="C38">
        <f>IF($A38="","",AVERAGEIFS('Raw Task Responses'!$P:$P,'Raw Task Responses'!$B:$B,$A38,'Raw Task Responses'!$D:$D,"TraceGuide"))</f>
      </c>
      <c r="D38">
        <f>IF($A38="","",C38-B38)</f>
      </c>
      <c r="E38">
        <f>IF($A38="","",COUNTIFS('Raw Task Responses'!$B:$B,$A38,'Raw Task Responses'!$D:$D,"Baseline",'Raw Task Responses'!$P:$P,2))</f>
      </c>
      <c r="F38">
        <f>IF($A38="","",COUNTIFS('Raw Task Responses'!$B:$B,$A38,'Raw Task Responses'!$D:$D,"TraceGuide",'Raw Task Responses'!$P:$P,2))</f>
      </c>
      <c r="G38">
        <f>IF($A38="","",AVERAGEIFS('Raw Task Responses'!$R:$R,'Raw Task Responses'!$B:$B,$A38,'Raw Task Responses'!$D:$D,"Baseline"))</f>
      </c>
      <c r="H38">
        <f>IF($A38="","",AVERAGEIFS('Raw Task Responses'!$R:$R,'Raw Task Responses'!$B:$B,$A38,'Raw Task Responses'!$D:$D,"TraceGuide"))</f>
      </c>
      <c r="I38">
        <f>IF($A38="","",AVERAGEIFS('Post-test Raw'!$AB:$AB,'Post-test Raw'!$B:$B,$A38,'Post-test Raw'!$C:$C,"Baseline"))</f>
      </c>
      <c r="J38">
        <f>IF($A38="","",AVERAGEIFS('Post-test Raw'!$AB:$AB,'Post-test Raw'!$B:$B,$A38,'Post-test Raw'!$C:$C,"TraceGuide"))</f>
      </c>
      <c r="K38">
        <f>IF($A38="","",AVERAGEIFS('Post-test Raw'!$AC:$AC,'Post-test Raw'!$B:$B,$A38,'Post-test Raw'!$C:$C,"Baseline"))</f>
      </c>
      <c r="L38">
        <f>IF($A38="","",AVERAGEIFS('Post-test Raw'!$AC:$AC,'Post-test Raw'!$B:$B,$A38,'Post-test Raw'!$C:$C,"TraceGuide"))</f>
      </c>
      <c r="M38">
        <f>IF($A38="","",AVERAGEIFS('Post-test Raw'!$AD:$AD,'Post-test Raw'!$B:$B,$A38,'Post-test Raw'!$C:$C,"Baseline"))</f>
      </c>
      <c r="N38">
        <f>IF($A38="","",AVERAGEIFS('Post-test Raw'!$AD:$AD,'Post-test Raw'!$B:$B,$A38,'Post-test Raw'!$C:$C,"TraceGuide"))</f>
      </c>
      <c r="O38">
        <f>IF($A38="","",AVERAGEIFS('Post-test Raw'!$AE:$AE,'Post-test Raw'!$B:$B,$A38,'Post-test Raw'!$C:$C,"Baseline"))</f>
      </c>
      <c r="P38">
        <f>IF($A38="","",AVERAGEIFS('Post-test Raw'!$AE:$AE,'Post-test Raw'!$B:$B,$A38,'Post-test Raw'!$C:$C,"TraceGuide"))</f>
      </c>
    </row>
    <row r="39">
      <c r="A39">
        <f>IFERROR(INDEX(SORT(UNIQUE(FILTER('Raw Task Responses'!$B$2:$B$201,'Raw Task Responses'!$B$2:$B$201&lt;&gt;""))),ROW()-1),"")</f>
      </c>
      <c r="B39">
        <f>IF($A39="","",AVERAGEIFS('Raw Task Responses'!$P:$P,'Raw Task Responses'!$B:$B,$A39,'Raw Task Responses'!$D:$D,"Baseline"))</f>
      </c>
      <c r="C39">
        <f>IF($A39="","",AVERAGEIFS('Raw Task Responses'!$P:$P,'Raw Task Responses'!$B:$B,$A39,'Raw Task Responses'!$D:$D,"TraceGuide"))</f>
      </c>
      <c r="D39">
        <f>IF($A39="","",C39-B39)</f>
      </c>
      <c r="E39">
        <f>IF($A39="","",COUNTIFS('Raw Task Responses'!$B:$B,$A39,'Raw Task Responses'!$D:$D,"Baseline",'Raw Task Responses'!$P:$P,2))</f>
      </c>
      <c r="F39">
        <f>IF($A39="","",COUNTIFS('Raw Task Responses'!$B:$B,$A39,'Raw Task Responses'!$D:$D,"TraceGuide",'Raw Task Responses'!$P:$P,2))</f>
      </c>
      <c r="G39">
        <f>IF($A39="","",AVERAGEIFS('Raw Task Responses'!$R:$R,'Raw Task Responses'!$B:$B,$A39,'Raw Task Responses'!$D:$D,"Baseline"))</f>
      </c>
      <c r="H39">
        <f>IF($A39="","",AVERAGEIFS('Raw Task Responses'!$R:$R,'Raw Task Responses'!$B:$B,$A39,'Raw Task Responses'!$D:$D,"TraceGuide"))</f>
      </c>
      <c r="I39">
        <f>IF($A39="","",AVERAGEIFS('Post-test Raw'!$AB:$AB,'Post-test Raw'!$B:$B,$A39,'Post-test Raw'!$C:$C,"Baseline"))</f>
      </c>
      <c r="J39">
        <f>IF($A39="","",AVERAGEIFS('Post-test Raw'!$AB:$AB,'Post-test Raw'!$B:$B,$A39,'Post-test Raw'!$C:$C,"TraceGuide"))</f>
      </c>
      <c r="K39">
        <f>IF($A39="","",AVERAGEIFS('Post-test Raw'!$AC:$AC,'Post-test Raw'!$B:$B,$A39,'Post-test Raw'!$C:$C,"Baseline"))</f>
      </c>
      <c r="L39">
        <f>IF($A39="","",AVERAGEIFS('Post-test Raw'!$AC:$AC,'Post-test Raw'!$B:$B,$A39,'Post-test Raw'!$C:$C,"TraceGuide"))</f>
      </c>
      <c r="M39">
        <f>IF($A39="","",AVERAGEIFS('Post-test Raw'!$AD:$AD,'Post-test Raw'!$B:$B,$A39,'Post-test Raw'!$C:$C,"Baseline"))</f>
      </c>
      <c r="N39">
        <f>IF($A39="","",AVERAGEIFS('Post-test Raw'!$AD:$AD,'Post-test Raw'!$B:$B,$A39,'Post-test Raw'!$C:$C,"TraceGuide"))</f>
      </c>
      <c r="O39">
        <f>IF($A39="","",AVERAGEIFS('Post-test Raw'!$AE:$AE,'Post-test Raw'!$B:$B,$A39,'Post-test Raw'!$C:$C,"Baseline"))</f>
      </c>
      <c r="P39">
        <f>IF($A39="","",AVERAGEIFS('Post-test Raw'!$AE:$AE,'Post-test Raw'!$B:$B,$A39,'Post-test Raw'!$C:$C,"TraceGuide"))</f>
      </c>
    </row>
    <row r="40">
      <c r="A40">
        <f>IFERROR(INDEX(SORT(UNIQUE(FILTER('Raw Task Responses'!$B$2:$B$201,'Raw Task Responses'!$B$2:$B$201&lt;&gt;""))),ROW()-1),"")</f>
      </c>
      <c r="B40">
        <f>IF($A40="","",AVERAGEIFS('Raw Task Responses'!$P:$P,'Raw Task Responses'!$B:$B,$A40,'Raw Task Responses'!$D:$D,"Baseline"))</f>
      </c>
      <c r="C40">
        <f>IF($A40="","",AVERAGEIFS('Raw Task Responses'!$P:$P,'Raw Task Responses'!$B:$B,$A40,'Raw Task Responses'!$D:$D,"TraceGuide"))</f>
      </c>
      <c r="D40">
        <f>IF($A40="","",C40-B40)</f>
      </c>
      <c r="E40">
        <f>IF($A40="","",COUNTIFS('Raw Task Responses'!$B:$B,$A40,'Raw Task Responses'!$D:$D,"Baseline",'Raw Task Responses'!$P:$P,2))</f>
      </c>
      <c r="F40">
        <f>IF($A40="","",COUNTIFS('Raw Task Responses'!$B:$B,$A40,'Raw Task Responses'!$D:$D,"TraceGuide",'Raw Task Responses'!$P:$P,2))</f>
      </c>
      <c r="G40">
        <f>IF($A40="","",AVERAGEIFS('Raw Task Responses'!$R:$R,'Raw Task Responses'!$B:$B,$A40,'Raw Task Responses'!$D:$D,"Baseline"))</f>
      </c>
      <c r="H40">
        <f>IF($A40="","",AVERAGEIFS('Raw Task Responses'!$R:$R,'Raw Task Responses'!$B:$B,$A40,'Raw Task Responses'!$D:$D,"TraceGuide"))</f>
      </c>
      <c r="I40">
        <f>IF($A40="","",AVERAGEIFS('Post-test Raw'!$AB:$AB,'Post-test Raw'!$B:$B,$A40,'Post-test Raw'!$C:$C,"Baseline"))</f>
      </c>
      <c r="J40">
        <f>IF($A40="","",AVERAGEIFS('Post-test Raw'!$AB:$AB,'Post-test Raw'!$B:$B,$A40,'Post-test Raw'!$C:$C,"TraceGuide"))</f>
      </c>
      <c r="K40">
        <f>IF($A40="","",AVERAGEIFS('Post-test Raw'!$AC:$AC,'Post-test Raw'!$B:$B,$A40,'Post-test Raw'!$C:$C,"Baseline"))</f>
      </c>
      <c r="L40">
        <f>IF($A40="","",AVERAGEIFS('Post-test Raw'!$AC:$AC,'Post-test Raw'!$B:$B,$A40,'Post-test Raw'!$C:$C,"TraceGuide"))</f>
      </c>
      <c r="M40">
        <f>IF($A40="","",AVERAGEIFS('Post-test Raw'!$AD:$AD,'Post-test Raw'!$B:$B,$A40,'Post-test Raw'!$C:$C,"Baseline"))</f>
      </c>
      <c r="N40">
        <f>IF($A40="","",AVERAGEIFS('Post-test Raw'!$AD:$AD,'Post-test Raw'!$B:$B,$A40,'Post-test Raw'!$C:$C,"TraceGuide"))</f>
      </c>
      <c r="O40">
        <f>IF($A40="","",AVERAGEIFS('Post-test Raw'!$AE:$AE,'Post-test Raw'!$B:$B,$A40,'Post-test Raw'!$C:$C,"Baseline"))</f>
      </c>
      <c r="P40">
        <f>IF($A40="","",AVERAGEIFS('Post-test Raw'!$AE:$AE,'Post-test Raw'!$B:$B,$A40,'Post-test Raw'!$C:$C,"TraceGuide"))</f>
      </c>
    </row>
    <row r="41">
      <c r="A41">
        <f>IFERROR(INDEX(SORT(UNIQUE(FILTER('Raw Task Responses'!$B$2:$B$201,'Raw Task Responses'!$B$2:$B$201&lt;&gt;""))),ROW()-1),"")</f>
      </c>
      <c r="B41">
        <f>IF($A41="","",AVERAGEIFS('Raw Task Responses'!$P:$P,'Raw Task Responses'!$B:$B,$A41,'Raw Task Responses'!$D:$D,"Baseline"))</f>
      </c>
      <c r="C41">
        <f>IF($A41="","",AVERAGEIFS('Raw Task Responses'!$P:$P,'Raw Task Responses'!$B:$B,$A41,'Raw Task Responses'!$D:$D,"TraceGuide"))</f>
      </c>
      <c r="D41">
        <f>IF($A41="","",C41-B41)</f>
      </c>
      <c r="E41">
        <f>IF($A41="","",COUNTIFS('Raw Task Responses'!$B:$B,$A41,'Raw Task Responses'!$D:$D,"Baseline",'Raw Task Responses'!$P:$P,2))</f>
      </c>
      <c r="F41">
        <f>IF($A41="","",COUNTIFS('Raw Task Responses'!$B:$B,$A41,'Raw Task Responses'!$D:$D,"TraceGuide",'Raw Task Responses'!$P:$P,2))</f>
      </c>
      <c r="G41">
        <f>IF($A41="","",AVERAGEIFS('Raw Task Responses'!$R:$R,'Raw Task Responses'!$B:$B,$A41,'Raw Task Responses'!$D:$D,"Baseline"))</f>
      </c>
      <c r="H41">
        <f>IF($A41="","",AVERAGEIFS('Raw Task Responses'!$R:$R,'Raw Task Responses'!$B:$B,$A41,'Raw Task Responses'!$D:$D,"TraceGuide"))</f>
      </c>
      <c r="I41">
        <f>IF($A41="","",AVERAGEIFS('Post-test Raw'!$AB:$AB,'Post-test Raw'!$B:$B,$A41,'Post-test Raw'!$C:$C,"Baseline"))</f>
      </c>
      <c r="J41">
        <f>IF($A41="","",AVERAGEIFS('Post-test Raw'!$AB:$AB,'Post-test Raw'!$B:$B,$A41,'Post-test Raw'!$C:$C,"TraceGuide"))</f>
      </c>
      <c r="K41">
        <f>IF($A41="","",AVERAGEIFS('Post-test Raw'!$AC:$AC,'Post-test Raw'!$B:$B,$A41,'Post-test Raw'!$C:$C,"Baseline"))</f>
      </c>
      <c r="L41">
        <f>IF($A41="","",AVERAGEIFS('Post-test Raw'!$AC:$AC,'Post-test Raw'!$B:$B,$A41,'Post-test Raw'!$C:$C,"TraceGuide"))</f>
      </c>
      <c r="M41">
        <f>IF($A41="","",AVERAGEIFS('Post-test Raw'!$AD:$AD,'Post-test Raw'!$B:$B,$A41,'Post-test Raw'!$C:$C,"Baseline"))</f>
      </c>
      <c r="N41">
        <f>IF($A41="","",AVERAGEIFS('Post-test Raw'!$AD:$AD,'Post-test Raw'!$B:$B,$A41,'Post-test Raw'!$C:$C,"TraceGuide"))</f>
      </c>
      <c r="O41">
        <f>IF($A41="","",AVERAGEIFS('Post-test Raw'!$AE:$AE,'Post-test Raw'!$B:$B,$A41,'Post-test Raw'!$C:$C,"Baseline"))</f>
      </c>
      <c r="P41">
        <f>IF($A41="","",AVERAGEIFS('Post-test Raw'!$AE:$AE,'Post-test Raw'!$B:$B,$A41,'Post-test Raw'!$C:$C,"TraceGuide"))</f>
      </c>
    </row>
    <row r="42">
      <c r="A42">
        <f>IFERROR(INDEX(SORT(UNIQUE(FILTER('Raw Task Responses'!$B$2:$B$201,'Raw Task Responses'!$B$2:$B$201&lt;&gt;""))),ROW()-1),"")</f>
      </c>
      <c r="B42">
        <f>IF($A42="","",AVERAGEIFS('Raw Task Responses'!$P:$P,'Raw Task Responses'!$B:$B,$A42,'Raw Task Responses'!$D:$D,"Baseline"))</f>
      </c>
      <c r="C42">
        <f>IF($A42="","",AVERAGEIFS('Raw Task Responses'!$P:$P,'Raw Task Responses'!$B:$B,$A42,'Raw Task Responses'!$D:$D,"TraceGuide"))</f>
      </c>
      <c r="D42">
        <f>IF($A42="","",C42-B42)</f>
      </c>
      <c r="E42">
        <f>IF($A42="","",COUNTIFS('Raw Task Responses'!$B:$B,$A42,'Raw Task Responses'!$D:$D,"Baseline",'Raw Task Responses'!$P:$P,2))</f>
      </c>
      <c r="F42">
        <f>IF($A42="","",COUNTIFS('Raw Task Responses'!$B:$B,$A42,'Raw Task Responses'!$D:$D,"TraceGuide",'Raw Task Responses'!$P:$P,2))</f>
      </c>
      <c r="G42">
        <f>IF($A42="","",AVERAGEIFS('Raw Task Responses'!$R:$R,'Raw Task Responses'!$B:$B,$A42,'Raw Task Responses'!$D:$D,"Baseline"))</f>
      </c>
      <c r="H42">
        <f>IF($A42="","",AVERAGEIFS('Raw Task Responses'!$R:$R,'Raw Task Responses'!$B:$B,$A42,'Raw Task Responses'!$D:$D,"TraceGuide"))</f>
      </c>
      <c r="I42">
        <f>IF($A42="","",AVERAGEIFS('Post-test Raw'!$AB:$AB,'Post-test Raw'!$B:$B,$A42,'Post-test Raw'!$C:$C,"Baseline"))</f>
      </c>
      <c r="J42">
        <f>IF($A42="","",AVERAGEIFS('Post-test Raw'!$AB:$AB,'Post-test Raw'!$B:$B,$A42,'Post-test Raw'!$C:$C,"TraceGuide"))</f>
      </c>
      <c r="K42">
        <f>IF($A42="","",AVERAGEIFS('Post-test Raw'!$AC:$AC,'Post-test Raw'!$B:$B,$A42,'Post-test Raw'!$C:$C,"Baseline"))</f>
      </c>
      <c r="L42">
        <f>IF($A42="","",AVERAGEIFS('Post-test Raw'!$AC:$AC,'Post-test Raw'!$B:$B,$A42,'Post-test Raw'!$C:$C,"TraceGuide"))</f>
      </c>
      <c r="M42">
        <f>IF($A42="","",AVERAGEIFS('Post-test Raw'!$AD:$AD,'Post-test Raw'!$B:$B,$A42,'Post-test Raw'!$C:$C,"Baseline"))</f>
      </c>
      <c r="N42">
        <f>IF($A42="","",AVERAGEIFS('Post-test Raw'!$AD:$AD,'Post-test Raw'!$B:$B,$A42,'Post-test Raw'!$C:$C,"TraceGuide"))</f>
      </c>
      <c r="O42">
        <f>IF($A42="","",AVERAGEIFS('Post-test Raw'!$AE:$AE,'Post-test Raw'!$B:$B,$A42,'Post-test Raw'!$C:$C,"Baseline"))</f>
      </c>
      <c r="P42">
        <f>IF($A42="","",AVERAGEIFS('Post-test Raw'!$AE:$AE,'Post-test Raw'!$B:$B,$A42,'Post-test Raw'!$C:$C,"TraceGuide"))</f>
      </c>
    </row>
    <row r="43">
      <c r="A43">
        <f>IFERROR(INDEX(SORT(UNIQUE(FILTER('Raw Task Responses'!$B$2:$B$201,'Raw Task Responses'!$B$2:$B$201&lt;&gt;""))),ROW()-1),"")</f>
      </c>
      <c r="B43">
        <f>IF($A43="","",AVERAGEIFS('Raw Task Responses'!$P:$P,'Raw Task Responses'!$B:$B,$A43,'Raw Task Responses'!$D:$D,"Baseline"))</f>
      </c>
      <c r="C43">
        <f>IF($A43="","",AVERAGEIFS('Raw Task Responses'!$P:$P,'Raw Task Responses'!$B:$B,$A43,'Raw Task Responses'!$D:$D,"TraceGuide"))</f>
      </c>
      <c r="D43">
        <f>IF($A43="","",C43-B43)</f>
      </c>
      <c r="E43">
        <f>IF($A43="","",COUNTIFS('Raw Task Responses'!$B:$B,$A43,'Raw Task Responses'!$D:$D,"Baseline",'Raw Task Responses'!$P:$P,2))</f>
      </c>
      <c r="F43">
        <f>IF($A43="","",COUNTIFS('Raw Task Responses'!$B:$B,$A43,'Raw Task Responses'!$D:$D,"TraceGuide",'Raw Task Responses'!$P:$P,2))</f>
      </c>
      <c r="G43">
        <f>IF($A43="","",AVERAGEIFS('Raw Task Responses'!$R:$R,'Raw Task Responses'!$B:$B,$A43,'Raw Task Responses'!$D:$D,"Baseline"))</f>
      </c>
      <c r="H43">
        <f>IF($A43="","",AVERAGEIFS('Raw Task Responses'!$R:$R,'Raw Task Responses'!$B:$B,$A43,'Raw Task Responses'!$D:$D,"TraceGuide"))</f>
      </c>
      <c r="I43">
        <f>IF($A43="","",AVERAGEIFS('Post-test Raw'!$AB:$AB,'Post-test Raw'!$B:$B,$A43,'Post-test Raw'!$C:$C,"Baseline"))</f>
      </c>
      <c r="J43">
        <f>IF($A43="","",AVERAGEIFS('Post-test Raw'!$AB:$AB,'Post-test Raw'!$B:$B,$A43,'Post-test Raw'!$C:$C,"TraceGuide"))</f>
      </c>
      <c r="K43">
        <f>IF($A43="","",AVERAGEIFS('Post-test Raw'!$AC:$AC,'Post-test Raw'!$B:$B,$A43,'Post-test Raw'!$C:$C,"Baseline"))</f>
      </c>
      <c r="L43">
        <f>IF($A43="","",AVERAGEIFS('Post-test Raw'!$AC:$AC,'Post-test Raw'!$B:$B,$A43,'Post-test Raw'!$C:$C,"TraceGuide"))</f>
      </c>
      <c r="M43">
        <f>IF($A43="","",AVERAGEIFS('Post-test Raw'!$AD:$AD,'Post-test Raw'!$B:$B,$A43,'Post-test Raw'!$C:$C,"Baseline"))</f>
      </c>
      <c r="N43">
        <f>IF($A43="","",AVERAGEIFS('Post-test Raw'!$AD:$AD,'Post-test Raw'!$B:$B,$A43,'Post-test Raw'!$C:$C,"TraceGuide"))</f>
      </c>
      <c r="O43">
        <f>IF($A43="","",AVERAGEIFS('Post-test Raw'!$AE:$AE,'Post-test Raw'!$B:$B,$A43,'Post-test Raw'!$C:$C,"Baseline"))</f>
      </c>
      <c r="P43">
        <f>IF($A43="","",AVERAGEIFS('Post-test Raw'!$AE:$AE,'Post-test Raw'!$B:$B,$A43,'Post-test Raw'!$C:$C,"TraceGuide"))</f>
      </c>
    </row>
    <row r="44">
      <c r="A44">
        <f>IFERROR(INDEX(SORT(UNIQUE(FILTER('Raw Task Responses'!$B$2:$B$201,'Raw Task Responses'!$B$2:$B$201&lt;&gt;""))),ROW()-1),"")</f>
      </c>
      <c r="B44">
        <f>IF($A44="","",AVERAGEIFS('Raw Task Responses'!$P:$P,'Raw Task Responses'!$B:$B,$A44,'Raw Task Responses'!$D:$D,"Baseline"))</f>
      </c>
      <c r="C44">
        <f>IF($A44="","",AVERAGEIFS('Raw Task Responses'!$P:$P,'Raw Task Responses'!$B:$B,$A44,'Raw Task Responses'!$D:$D,"TraceGuide"))</f>
      </c>
      <c r="D44">
        <f>IF($A44="","",C44-B44)</f>
      </c>
      <c r="E44">
        <f>IF($A44="","",COUNTIFS('Raw Task Responses'!$B:$B,$A44,'Raw Task Responses'!$D:$D,"Baseline",'Raw Task Responses'!$P:$P,2))</f>
      </c>
      <c r="F44">
        <f>IF($A44="","",COUNTIFS('Raw Task Responses'!$B:$B,$A44,'Raw Task Responses'!$D:$D,"TraceGuide",'Raw Task Responses'!$P:$P,2))</f>
      </c>
      <c r="G44">
        <f>IF($A44="","",AVERAGEIFS('Raw Task Responses'!$R:$R,'Raw Task Responses'!$B:$B,$A44,'Raw Task Responses'!$D:$D,"Baseline"))</f>
      </c>
      <c r="H44">
        <f>IF($A44="","",AVERAGEIFS('Raw Task Responses'!$R:$R,'Raw Task Responses'!$B:$B,$A44,'Raw Task Responses'!$D:$D,"TraceGuide"))</f>
      </c>
      <c r="I44">
        <f>IF($A44="","",AVERAGEIFS('Post-test Raw'!$AB:$AB,'Post-test Raw'!$B:$B,$A44,'Post-test Raw'!$C:$C,"Baseline"))</f>
      </c>
      <c r="J44">
        <f>IF($A44="","",AVERAGEIFS('Post-test Raw'!$AB:$AB,'Post-test Raw'!$B:$B,$A44,'Post-test Raw'!$C:$C,"TraceGuide"))</f>
      </c>
      <c r="K44">
        <f>IF($A44="","",AVERAGEIFS('Post-test Raw'!$AC:$AC,'Post-test Raw'!$B:$B,$A44,'Post-test Raw'!$C:$C,"Baseline"))</f>
      </c>
      <c r="L44">
        <f>IF($A44="","",AVERAGEIFS('Post-test Raw'!$AC:$AC,'Post-test Raw'!$B:$B,$A44,'Post-test Raw'!$C:$C,"TraceGuide"))</f>
      </c>
      <c r="M44">
        <f>IF($A44="","",AVERAGEIFS('Post-test Raw'!$AD:$AD,'Post-test Raw'!$B:$B,$A44,'Post-test Raw'!$C:$C,"Baseline"))</f>
      </c>
      <c r="N44">
        <f>IF($A44="","",AVERAGEIFS('Post-test Raw'!$AD:$AD,'Post-test Raw'!$B:$B,$A44,'Post-test Raw'!$C:$C,"TraceGuide"))</f>
      </c>
      <c r="O44">
        <f>IF($A44="","",AVERAGEIFS('Post-test Raw'!$AE:$AE,'Post-test Raw'!$B:$B,$A44,'Post-test Raw'!$C:$C,"Baseline"))</f>
      </c>
      <c r="P44">
        <f>IF($A44="","",AVERAGEIFS('Post-test Raw'!$AE:$AE,'Post-test Raw'!$B:$B,$A44,'Post-test Raw'!$C:$C,"TraceGuide"))</f>
      </c>
    </row>
    <row r="45">
      <c r="A45">
        <f>IFERROR(INDEX(SORT(UNIQUE(FILTER('Raw Task Responses'!$B$2:$B$201,'Raw Task Responses'!$B$2:$B$201&lt;&gt;""))),ROW()-1),"")</f>
      </c>
      <c r="B45">
        <f>IF($A45="","",AVERAGEIFS('Raw Task Responses'!$P:$P,'Raw Task Responses'!$B:$B,$A45,'Raw Task Responses'!$D:$D,"Baseline"))</f>
      </c>
      <c r="C45">
        <f>IF($A45="","",AVERAGEIFS('Raw Task Responses'!$P:$P,'Raw Task Responses'!$B:$B,$A45,'Raw Task Responses'!$D:$D,"TraceGuide"))</f>
      </c>
      <c r="D45">
        <f>IF($A45="","",C45-B45)</f>
      </c>
      <c r="E45">
        <f>IF($A45="","",COUNTIFS('Raw Task Responses'!$B:$B,$A45,'Raw Task Responses'!$D:$D,"Baseline",'Raw Task Responses'!$P:$P,2))</f>
      </c>
      <c r="F45">
        <f>IF($A45="","",COUNTIFS('Raw Task Responses'!$B:$B,$A45,'Raw Task Responses'!$D:$D,"TraceGuide",'Raw Task Responses'!$P:$P,2))</f>
      </c>
      <c r="G45">
        <f>IF($A45="","",AVERAGEIFS('Raw Task Responses'!$R:$R,'Raw Task Responses'!$B:$B,$A45,'Raw Task Responses'!$D:$D,"Baseline"))</f>
      </c>
      <c r="H45">
        <f>IF($A45="","",AVERAGEIFS('Raw Task Responses'!$R:$R,'Raw Task Responses'!$B:$B,$A45,'Raw Task Responses'!$D:$D,"TraceGuide"))</f>
      </c>
      <c r="I45">
        <f>IF($A45="","",AVERAGEIFS('Post-test Raw'!$AB:$AB,'Post-test Raw'!$B:$B,$A45,'Post-test Raw'!$C:$C,"Baseline"))</f>
      </c>
      <c r="J45">
        <f>IF($A45="","",AVERAGEIFS('Post-test Raw'!$AB:$AB,'Post-test Raw'!$B:$B,$A45,'Post-test Raw'!$C:$C,"TraceGuide"))</f>
      </c>
      <c r="K45">
        <f>IF($A45="","",AVERAGEIFS('Post-test Raw'!$AC:$AC,'Post-test Raw'!$B:$B,$A45,'Post-test Raw'!$C:$C,"Baseline"))</f>
      </c>
      <c r="L45">
        <f>IF($A45="","",AVERAGEIFS('Post-test Raw'!$AC:$AC,'Post-test Raw'!$B:$B,$A45,'Post-test Raw'!$C:$C,"TraceGuide"))</f>
      </c>
      <c r="M45">
        <f>IF($A45="","",AVERAGEIFS('Post-test Raw'!$AD:$AD,'Post-test Raw'!$B:$B,$A45,'Post-test Raw'!$C:$C,"Baseline"))</f>
      </c>
      <c r="N45">
        <f>IF($A45="","",AVERAGEIFS('Post-test Raw'!$AD:$AD,'Post-test Raw'!$B:$B,$A45,'Post-test Raw'!$C:$C,"TraceGuide"))</f>
      </c>
      <c r="O45">
        <f>IF($A45="","",AVERAGEIFS('Post-test Raw'!$AE:$AE,'Post-test Raw'!$B:$B,$A45,'Post-test Raw'!$C:$C,"Baseline"))</f>
      </c>
      <c r="P45">
        <f>IF($A45="","",AVERAGEIFS('Post-test Raw'!$AE:$AE,'Post-test Raw'!$B:$B,$A45,'Post-test Raw'!$C:$C,"TraceGuide"))</f>
      </c>
    </row>
    <row r="46">
      <c r="A46">
        <f>IFERROR(INDEX(SORT(UNIQUE(FILTER('Raw Task Responses'!$B$2:$B$201,'Raw Task Responses'!$B$2:$B$201&lt;&gt;""))),ROW()-1),"")</f>
      </c>
      <c r="B46">
        <f>IF($A46="","",AVERAGEIFS('Raw Task Responses'!$P:$P,'Raw Task Responses'!$B:$B,$A46,'Raw Task Responses'!$D:$D,"Baseline"))</f>
      </c>
      <c r="C46">
        <f>IF($A46="","",AVERAGEIFS('Raw Task Responses'!$P:$P,'Raw Task Responses'!$B:$B,$A46,'Raw Task Responses'!$D:$D,"TraceGuide"))</f>
      </c>
      <c r="D46">
        <f>IF($A46="","",C46-B46)</f>
      </c>
      <c r="E46">
        <f>IF($A46="","",COUNTIFS('Raw Task Responses'!$B:$B,$A46,'Raw Task Responses'!$D:$D,"Baseline",'Raw Task Responses'!$P:$P,2))</f>
      </c>
      <c r="F46">
        <f>IF($A46="","",COUNTIFS('Raw Task Responses'!$B:$B,$A46,'Raw Task Responses'!$D:$D,"TraceGuide",'Raw Task Responses'!$P:$P,2))</f>
      </c>
      <c r="G46">
        <f>IF($A46="","",AVERAGEIFS('Raw Task Responses'!$R:$R,'Raw Task Responses'!$B:$B,$A46,'Raw Task Responses'!$D:$D,"Baseline"))</f>
      </c>
      <c r="H46">
        <f>IF($A46="","",AVERAGEIFS('Raw Task Responses'!$R:$R,'Raw Task Responses'!$B:$B,$A46,'Raw Task Responses'!$D:$D,"TraceGuide"))</f>
      </c>
      <c r="I46">
        <f>IF($A46="","",AVERAGEIFS('Post-test Raw'!$AB:$AB,'Post-test Raw'!$B:$B,$A46,'Post-test Raw'!$C:$C,"Baseline"))</f>
      </c>
      <c r="J46">
        <f>IF($A46="","",AVERAGEIFS('Post-test Raw'!$AB:$AB,'Post-test Raw'!$B:$B,$A46,'Post-test Raw'!$C:$C,"TraceGuide"))</f>
      </c>
      <c r="K46">
        <f>IF($A46="","",AVERAGEIFS('Post-test Raw'!$AC:$AC,'Post-test Raw'!$B:$B,$A46,'Post-test Raw'!$C:$C,"Baseline"))</f>
      </c>
      <c r="L46">
        <f>IF($A46="","",AVERAGEIFS('Post-test Raw'!$AC:$AC,'Post-test Raw'!$B:$B,$A46,'Post-test Raw'!$C:$C,"TraceGuide"))</f>
      </c>
      <c r="M46">
        <f>IF($A46="","",AVERAGEIFS('Post-test Raw'!$AD:$AD,'Post-test Raw'!$B:$B,$A46,'Post-test Raw'!$C:$C,"Baseline"))</f>
      </c>
      <c r="N46">
        <f>IF($A46="","",AVERAGEIFS('Post-test Raw'!$AD:$AD,'Post-test Raw'!$B:$B,$A46,'Post-test Raw'!$C:$C,"TraceGuide"))</f>
      </c>
      <c r="O46">
        <f>IF($A46="","",AVERAGEIFS('Post-test Raw'!$AE:$AE,'Post-test Raw'!$B:$B,$A46,'Post-test Raw'!$C:$C,"Baseline"))</f>
      </c>
      <c r="P46">
        <f>IF($A46="","",AVERAGEIFS('Post-test Raw'!$AE:$AE,'Post-test Raw'!$B:$B,$A46,'Post-test Raw'!$C:$C,"TraceGuide"))</f>
      </c>
    </row>
    <row r="47">
      <c r="A47">
        <f>IFERROR(INDEX(SORT(UNIQUE(FILTER('Raw Task Responses'!$B$2:$B$201,'Raw Task Responses'!$B$2:$B$201&lt;&gt;""))),ROW()-1),"")</f>
      </c>
      <c r="B47">
        <f>IF($A47="","",AVERAGEIFS('Raw Task Responses'!$P:$P,'Raw Task Responses'!$B:$B,$A47,'Raw Task Responses'!$D:$D,"Baseline"))</f>
      </c>
      <c r="C47">
        <f>IF($A47="","",AVERAGEIFS('Raw Task Responses'!$P:$P,'Raw Task Responses'!$B:$B,$A47,'Raw Task Responses'!$D:$D,"TraceGuide"))</f>
      </c>
      <c r="D47">
        <f>IF($A47="","",C47-B47)</f>
      </c>
      <c r="E47">
        <f>IF($A47="","",COUNTIFS('Raw Task Responses'!$B:$B,$A47,'Raw Task Responses'!$D:$D,"Baseline",'Raw Task Responses'!$P:$P,2))</f>
      </c>
      <c r="F47">
        <f>IF($A47="","",COUNTIFS('Raw Task Responses'!$B:$B,$A47,'Raw Task Responses'!$D:$D,"TraceGuide",'Raw Task Responses'!$P:$P,2))</f>
      </c>
      <c r="G47">
        <f>IF($A47="","",AVERAGEIFS('Raw Task Responses'!$R:$R,'Raw Task Responses'!$B:$B,$A47,'Raw Task Responses'!$D:$D,"Baseline"))</f>
      </c>
      <c r="H47">
        <f>IF($A47="","",AVERAGEIFS('Raw Task Responses'!$R:$R,'Raw Task Responses'!$B:$B,$A47,'Raw Task Responses'!$D:$D,"TraceGuide"))</f>
      </c>
      <c r="I47">
        <f>IF($A47="","",AVERAGEIFS('Post-test Raw'!$AB:$AB,'Post-test Raw'!$B:$B,$A47,'Post-test Raw'!$C:$C,"Baseline"))</f>
      </c>
      <c r="J47">
        <f>IF($A47="","",AVERAGEIFS('Post-test Raw'!$AB:$AB,'Post-test Raw'!$B:$B,$A47,'Post-test Raw'!$C:$C,"TraceGuide"))</f>
      </c>
      <c r="K47">
        <f>IF($A47="","",AVERAGEIFS('Post-test Raw'!$AC:$AC,'Post-test Raw'!$B:$B,$A47,'Post-test Raw'!$C:$C,"Baseline"))</f>
      </c>
      <c r="L47">
        <f>IF($A47="","",AVERAGEIFS('Post-test Raw'!$AC:$AC,'Post-test Raw'!$B:$B,$A47,'Post-test Raw'!$C:$C,"TraceGuide"))</f>
      </c>
      <c r="M47">
        <f>IF($A47="","",AVERAGEIFS('Post-test Raw'!$AD:$AD,'Post-test Raw'!$B:$B,$A47,'Post-test Raw'!$C:$C,"Baseline"))</f>
      </c>
      <c r="N47">
        <f>IF($A47="","",AVERAGEIFS('Post-test Raw'!$AD:$AD,'Post-test Raw'!$B:$B,$A47,'Post-test Raw'!$C:$C,"TraceGuide"))</f>
      </c>
      <c r="O47">
        <f>IF($A47="","",AVERAGEIFS('Post-test Raw'!$AE:$AE,'Post-test Raw'!$B:$B,$A47,'Post-test Raw'!$C:$C,"Baseline"))</f>
      </c>
      <c r="P47">
        <f>IF($A47="","",AVERAGEIFS('Post-test Raw'!$AE:$AE,'Post-test Raw'!$B:$B,$A47,'Post-test Raw'!$C:$C,"TraceGuide"))</f>
      </c>
    </row>
    <row r="48">
      <c r="A48">
        <f>IFERROR(INDEX(SORT(UNIQUE(FILTER('Raw Task Responses'!$B$2:$B$201,'Raw Task Responses'!$B$2:$B$201&lt;&gt;""))),ROW()-1),"")</f>
      </c>
      <c r="B48">
        <f>IF($A48="","",AVERAGEIFS('Raw Task Responses'!$P:$P,'Raw Task Responses'!$B:$B,$A48,'Raw Task Responses'!$D:$D,"Baseline"))</f>
      </c>
      <c r="C48">
        <f>IF($A48="","",AVERAGEIFS('Raw Task Responses'!$P:$P,'Raw Task Responses'!$B:$B,$A48,'Raw Task Responses'!$D:$D,"TraceGuide"))</f>
      </c>
      <c r="D48">
        <f>IF($A48="","",C48-B48)</f>
      </c>
      <c r="E48">
        <f>IF($A48="","",COUNTIFS('Raw Task Responses'!$B:$B,$A48,'Raw Task Responses'!$D:$D,"Baseline",'Raw Task Responses'!$P:$P,2))</f>
      </c>
      <c r="F48">
        <f>IF($A48="","",COUNTIFS('Raw Task Responses'!$B:$B,$A48,'Raw Task Responses'!$D:$D,"TraceGuide",'Raw Task Responses'!$P:$P,2))</f>
      </c>
      <c r="G48">
        <f>IF($A48="","",AVERAGEIFS('Raw Task Responses'!$R:$R,'Raw Task Responses'!$B:$B,$A48,'Raw Task Responses'!$D:$D,"Baseline"))</f>
      </c>
      <c r="H48">
        <f>IF($A48="","",AVERAGEIFS('Raw Task Responses'!$R:$R,'Raw Task Responses'!$B:$B,$A48,'Raw Task Responses'!$D:$D,"TraceGuide"))</f>
      </c>
      <c r="I48">
        <f>IF($A48="","",AVERAGEIFS('Post-test Raw'!$AB:$AB,'Post-test Raw'!$B:$B,$A48,'Post-test Raw'!$C:$C,"Baseline"))</f>
      </c>
      <c r="J48">
        <f>IF($A48="","",AVERAGEIFS('Post-test Raw'!$AB:$AB,'Post-test Raw'!$B:$B,$A48,'Post-test Raw'!$C:$C,"TraceGuide"))</f>
      </c>
      <c r="K48">
        <f>IF($A48="","",AVERAGEIFS('Post-test Raw'!$AC:$AC,'Post-test Raw'!$B:$B,$A48,'Post-test Raw'!$C:$C,"Baseline"))</f>
      </c>
      <c r="L48">
        <f>IF($A48="","",AVERAGEIFS('Post-test Raw'!$AC:$AC,'Post-test Raw'!$B:$B,$A48,'Post-test Raw'!$C:$C,"TraceGuide"))</f>
      </c>
      <c r="M48">
        <f>IF($A48="","",AVERAGEIFS('Post-test Raw'!$AD:$AD,'Post-test Raw'!$B:$B,$A48,'Post-test Raw'!$C:$C,"Baseline"))</f>
      </c>
      <c r="N48">
        <f>IF($A48="","",AVERAGEIFS('Post-test Raw'!$AD:$AD,'Post-test Raw'!$B:$B,$A48,'Post-test Raw'!$C:$C,"TraceGuide"))</f>
      </c>
      <c r="O48">
        <f>IF($A48="","",AVERAGEIFS('Post-test Raw'!$AE:$AE,'Post-test Raw'!$B:$B,$A48,'Post-test Raw'!$C:$C,"Baseline"))</f>
      </c>
      <c r="P48">
        <f>IF($A48="","",AVERAGEIFS('Post-test Raw'!$AE:$AE,'Post-test Raw'!$B:$B,$A48,'Post-test Raw'!$C:$C,"TraceGuide"))</f>
      </c>
    </row>
    <row r="49">
      <c r="A49">
        <f>IFERROR(INDEX(SORT(UNIQUE(FILTER('Raw Task Responses'!$B$2:$B$201,'Raw Task Responses'!$B$2:$B$201&lt;&gt;""))),ROW()-1),"")</f>
      </c>
      <c r="B49">
        <f>IF($A49="","",AVERAGEIFS('Raw Task Responses'!$P:$P,'Raw Task Responses'!$B:$B,$A49,'Raw Task Responses'!$D:$D,"Baseline"))</f>
      </c>
      <c r="C49">
        <f>IF($A49="","",AVERAGEIFS('Raw Task Responses'!$P:$P,'Raw Task Responses'!$B:$B,$A49,'Raw Task Responses'!$D:$D,"TraceGuide"))</f>
      </c>
      <c r="D49">
        <f>IF($A49="","",C49-B49)</f>
      </c>
      <c r="E49">
        <f>IF($A49="","",COUNTIFS('Raw Task Responses'!$B:$B,$A49,'Raw Task Responses'!$D:$D,"Baseline",'Raw Task Responses'!$P:$P,2))</f>
      </c>
      <c r="F49">
        <f>IF($A49="","",COUNTIFS('Raw Task Responses'!$B:$B,$A49,'Raw Task Responses'!$D:$D,"TraceGuide",'Raw Task Responses'!$P:$P,2))</f>
      </c>
      <c r="G49">
        <f>IF($A49="","",AVERAGEIFS('Raw Task Responses'!$R:$R,'Raw Task Responses'!$B:$B,$A49,'Raw Task Responses'!$D:$D,"Baseline"))</f>
      </c>
      <c r="H49">
        <f>IF($A49="","",AVERAGEIFS('Raw Task Responses'!$R:$R,'Raw Task Responses'!$B:$B,$A49,'Raw Task Responses'!$D:$D,"TraceGuide"))</f>
      </c>
      <c r="I49">
        <f>IF($A49="","",AVERAGEIFS('Post-test Raw'!$AB:$AB,'Post-test Raw'!$B:$B,$A49,'Post-test Raw'!$C:$C,"Baseline"))</f>
      </c>
      <c r="J49">
        <f>IF($A49="","",AVERAGEIFS('Post-test Raw'!$AB:$AB,'Post-test Raw'!$B:$B,$A49,'Post-test Raw'!$C:$C,"TraceGuide"))</f>
      </c>
      <c r="K49">
        <f>IF($A49="","",AVERAGEIFS('Post-test Raw'!$AC:$AC,'Post-test Raw'!$B:$B,$A49,'Post-test Raw'!$C:$C,"Baseline"))</f>
      </c>
      <c r="L49">
        <f>IF($A49="","",AVERAGEIFS('Post-test Raw'!$AC:$AC,'Post-test Raw'!$B:$B,$A49,'Post-test Raw'!$C:$C,"TraceGuide"))</f>
      </c>
      <c r="M49">
        <f>IF($A49="","",AVERAGEIFS('Post-test Raw'!$AD:$AD,'Post-test Raw'!$B:$B,$A49,'Post-test Raw'!$C:$C,"Baseline"))</f>
      </c>
      <c r="N49">
        <f>IF($A49="","",AVERAGEIFS('Post-test Raw'!$AD:$AD,'Post-test Raw'!$B:$B,$A49,'Post-test Raw'!$C:$C,"TraceGuide"))</f>
      </c>
      <c r="O49">
        <f>IF($A49="","",AVERAGEIFS('Post-test Raw'!$AE:$AE,'Post-test Raw'!$B:$B,$A49,'Post-test Raw'!$C:$C,"Baseline"))</f>
      </c>
      <c r="P49">
        <f>IF($A49="","",AVERAGEIFS('Post-test Raw'!$AE:$AE,'Post-test Raw'!$B:$B,$A49,'Post-test Raw'!$C:$C,"TraceGuide"))</f>
      </c>
    </row>
    <row r="50">
      <c r="A50">
        <f>IFERROR(INDEX(SORT(UNIQUE(FILTER('Raw Task Responses'!$B$2:$B$201,'Raw Task Responses'!$B$2:$B$201&lt;&gt;""))),ROW()-1),"")</f>
      </c>
      <c r="B50">
        <f>IF($A50="","",AVERAGEIFS('Raw Task Responses'!$P:$P,'Raw Task Responses'!$B:$B,$A50,'Raw Task Responses'!$D:$D,"Baseline"))</f>
      </c>
      <c r="C50">
        <f>IF($A50="","",AVERAGEIFS('Raw Task Responses'!$P:$P,'Raw Task Responses'!$B:$B,$A50,'Raw Task Responses'!$D:$D,"TraceGuide"))</f>
      </c>
      <c r="D50">
        <f>IF($A50="","",C50-B50)</f>
      </c>
      <c r="E50">
        <f>IF($A50="","",COUNTIFS('Raw Task Responses'!$B:$B,$A50,'Raw Task Responses'!$D:$D,"Baseline",'Raw Task Responses'!$P:$P,2))</f>
      </c>
      <c r="F50">
        <f>IF($A50="","",COUNTIFS('Raw Task Responses'!$B:$B,$A50,'Raw Task Responses'!$D:$D,"TraceGuide",'Raw Task Responses'!$P:$P,2))</f>
      </c>
      <c r="G50">
        <f>IF($A50="","",AVERAGEIFS('Raw Task Responses'!$R:$R,'Raw Task Responses'!$B:$B,$A50,'Raw Task Responses'!$D:$D,"Baseline"))</f>
      </c>
      <c r="H50">
        <f>IF($A50="","",AVERAGEIFS('Raw Task Responses'!$R:$R,'Raw Task Responses'!$B:$B,$A50,'Raw Task Responses'!$D:$D,"TraceGuide"))</f>
      </c>
      <c r="I50">
        <f>IF($A50="","",AVERAGEIFS('Post-test Raw'!$AB:$AB,'Post-test Raw'!$B:$B,$A50,'Post-test Raw'!$C:$C,"Baseline"))</f>
      </c>
      <c r="J50">
        <f>IF($A50="","",AVERAGEIFS('Post-test Raw'!$AB:$AB,'Post-test Raw'!$B:$B,$A50,'Post-test Raw'!$C:$C,"TraceGuide"))</f>
      </c>
      <c r="K50">
        <f>IF($A50="","",AVERAGEIFS('Post-test Raw'!$AC:$AC,'Post-test Raw'!$B:$B,$A50,'Post-test Raw'!$C:$C,"Baseline"))</f>
      </c>
      <c r="L50">
        <f>IF($A50="","",AVERAGEIFS('Post-test Raw'!$AC:$AC,'Post-test Raw'!$B:$B,$A50,'Post-test Raw'!$C:$C,"TraceGuide"))</f>
      </c>
      <c r="M50">
        <f>IF($A50="","",AVERAGEIFS('Post-test Raw'!$AD:$AD,'Post-test Raw'!$B:$B,$A50,'Post-test Raw'!$C:$C,"Baseline"))</f>
      </c>
      <c r="N50">
        <f>IF($A50="","",AVERAGEIFS('Post-test Raw'!$AD:$AD,'Post-test Raw'!$B:$B,$A50,'Post-test Raw'!$C:$C,"TraceGuide"))</f>
      </c>
      <c r="O50">
        <f>IF($A50="","",AVERAGEIFS('Post-test Raw'!$AE:$AE,'Post-test Raw'!$B:$B,$A50,'Post-test Raw'!$C:$C,"Baseline"))</f>
      </c>
      <c r="P50">
        <f>IF($A50="","",AVERAGEIFS('Post-test Raw'!$AE:$AE,'Post-test Raw'!$B:$B,$A50,'Post-test Raw'!$C:$C,"TraceGuide"))</f>
      </c>
    </row>
    <row r="51">
      <c r="A51">
        <f>IFERROR(INDEX(SORT(UNIQUE(FILTER('Raw Task Responses'!$B$2:$B$201,'Raw Task Responses'!$B$2:$B$201&lt;&gt;""))),ROW()-1),"")</f>
      </c>
      <c r="B51">
        <f>IF($A51="","",AVERAGEIFS('Raw Task Responses'!$P:$P,'Raw Task Responses'!$B:$B,$A51,'Raw Task Responses'!$D:$D,"Baseline"))</f>
      </c>
      <c r="C51">
        <f>IF($A51="","",AVERAGEIFS('Raw Task Responses'!$P:$P,'Raw Task Responses'!$B:$B,$A51,'Raw Task Responses'!$D:$D,"TraceGuide"))</f>
      </c>
      <c r="D51">
        <f>IF($A51="","",C51-B51)</f>
      </c>
      <c r="E51">
        <f>IF($A51="","",COUNTIFS('Raw Task Responses'!$B:$B,$A51,'Raw Task Responses'!$D:$D,"Baseline",'Raw Task Responses'!$P:$P,2))</f>
      </c>
      <c r="F51">
        <f>IF($A51="","",COUNTIFS('Raw Task Responses'!$B:$B,$A51,'Raw Task Responses'!$D:$D,"TraceGuide",'Raw Task Responses'!$P:$P,2))</f>
      </c>
      <c r="G51">
        <f>IF($A51="","",AVERAGEIFS('Raw Task Responses'!$R:$R,'Raw Task Responses'!$B:$B,$A51,'Raw Task Responses'!$D:$D,"Baseline"))</f>
      </c>
      <c r="H51">
        <f>IF($A51="","",AVERAGEIFS('Raw Task Responses'!$R:$R,'Raw Task Responses'!$B:$B,$A51,'Raw Task Responses'!$D:$D,"TraceGuide"))</f>
      </c>
      <c r="I51">
        <f>IF($A51="","",AVERAGEIFS('Post-test Raw'!$AB:$AB,'Post-test Raw'!$B:$B,$A51,'Post-test Raw'!$C:$C,"Baseline"))</f>
      </c>
      <c r="J51">
        <f>IF($A51="","",AVERAGEIFS('Post-test Raw'!$AB:$AB,'Post-test Raw'!$B:$B,$A51,'Post-test Raw'!$C:$C,"TraceGuide"))</f>
      </c>
      <c r="K51">
        <f>IF($A51="","",AVERAGEIFS('Post-test Raw'!$AC:$AC,'Post-test Raw'!$B:$B,$A51,'Post-test Raw'!$C:$C,"Baseline"))</f>
      </c>
      <c r="L51">
        <f>IF($A51="","",AVERAGEIFS('Post-test Raw'!$AC:$AC,'Post-test Raw'!$B:$B,$A51,'Post-test Raw'!$C:$C,"TraceGuide"))</f>
      </c>
      <c r="M51">
        <f>IF($A51="","",AVERAGEIFS('Post-test Raw'!$AD:$AD,'Post-test Raw'!$B:$B,$A51,'Post-test Raw'!$C:$C,"Baseline"))</f>
      </c>
      <c r="N51">
        <f>IF($A51="","",AVERAGEIFS('Post-test Raw'!$AD:$AD,'Post-test Raw'!$B:$B,$A51,'Post-test Raw'!$C:$C,"TraceGuide"))</f>
      </c>
      <c r="O51">
        <f>IF($A51="","",AVERAGEIFS('Post-test Raw'!$AE:$AE,'Post-test Raw'!$B:$B,$A51,'Post-test Raw'!$C:$C,"Baseline"))</f>
      </c>
      <c r="P51">
        <f>IF($A51="","",AVERAGEIFS('Post-test Raw'!$AE:$AE,'Post-test Raw'!$B:$B,$A51,'Post-test Raw'!$C:$C,"TraceGuide"))</f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Metric</t>
        </is>
      </c>
      <c r="B1" t="inlineStr">
        <is>
          <t>Baseline mean</t>
        </is>
      </c>
      <c r="C1" t="inlineStr">
        <is>
          <t>TraceGuide mean</t>
        </is>
      </c>
      <c r="D1" t="inlineStr">
        <is>
          <t>Difference / TraceGuide - Baseline</t>
        </is>
      </c>
    </row>
    <row r="2">
      <c r="A2" t="inlineStr">
        <is>
          <t>Decision appropriateness</t>
        </is>
      </c>
      <c r="B2">
        <f>AVERAGE('Participant Summary'!B2:B51)</f>
      </c>
      <c r="C2">
        <f>AVERAGE('Participant Summary'!C2:C51)</f>
      </c>
      <c r="D2">
        <f>C2-B2</f>
      </c>
    </row>
    <row r="3">
      <c r="A3" t="inlineStr">
        <is>
          <t>Correct task count</t>
        </is>
      </c>
      <c r="B3">
        <f>AVERAGE('Participant Summary'!E2:E51)</f>
      </c>
      <c r="C3">
        <f>AVERAGE('Participant Summary'!F2:F51)</f>
      </c>
      <c r="D3">
        <f>C3-B3</f>
      </c>
    </row>
    <row r="4">
      <c r="A4" t="inlineStr">
        <is>
          <t>ASQ task satisfaction</t>
        </is>
      </c>
      <c r="B4">
        <f>AVERAGE('Participant Summary'!G2:G51)</f>
      </c>
      <c r="C4">
        <f>AVERAGE('Participant Summary'!H2:H51)</f>
      </c>
      <c r="D4">
        <f>C4-B4</f>
      </c>
    </row>
    <row r="5">
      <c r="A5" t="inlineStr">
        <is>
          <t>SUS usability</t>
        </is>
      </c>
      <c r="B5">
        <f>AVERAGE('Participant Summary'!I2:I51)</f>
      </c>
      <c r="C5">
        <f>AVERAGE('Participant Summary'!J2:J51)</f>
      </c>
      <c r="D5">
        <f>C5-B5</f>
      </c>
    </row>
    <row r="6">
      <c r="A6" t="inlineStr">
        <is>
          <t>Raw NASA-TLX workload</t>
        </is>
      </c>
      <c r="B6">
        <f>AVERAGE('Participant Summary'!K2:K51)</f>
      </c>
      <c r="C6">
        <f>AVERAGE('Participant Summary'!L2:L51)</f>
      </c>
      <c r="D6">
        <f>C6-B6</f>
      </c>
    </row>
    <row r="7">
      <c r="A7" t="inlineStr">
        <is>
          <t>Evidence understanding</t>
        </is>
      </c>
      <c r="B7">
        <f>AVERAGE('Participant Summary'!M2:M51)</f>
      </c>
      <c r="C7">
        <f>AVERAGE('Participant Summary'!N2:N51)</f>
      </c>
      <c r="D7">
        <f>C7-B7</f>
      </c>
    </row>
    <row r="8">
      <c r="A8" t="inlineStr">
        <is>
          <t>Perceived control</t>
        </is>
      </c>
      <c r="B8">
        <f>AVERAGE('Participant Summary'!O2:O51)</f>
      </c>
      <c r="C8">
        <f>AVERAGE('Participant Summary'!P2:P51)</f>
      </c>
      <c r="D8">
        <f>C8-B8</f>
      </c>
    </row>
  </sheetData>
</worksheet>
</file>

<file path=docProps/app.xml><?xml version="1.0" encoding="utf-8"?>
<Properties xmlns="http://schemas.openxmlformats.org/officeDocument/2006/extended-properties">
  <Application>Codex</Application>
</Properties>
</file>

<file path=docProps/core.xml><?xml version="1.0" encoding="utf-8"?>
<cp:coreProperties xmlns:cp="http://schemas.openxmlformats.org/package/2006/metadata/core-properties" xmlns:dc="http://purl.org/dc/elements/1.1/">
  <dc:title>TraceGuide Agent UX Study Scoring Workbook</dc:title>
  <dc:creator>Codex</dc:creator>
</cp:coreProperties>
</file>