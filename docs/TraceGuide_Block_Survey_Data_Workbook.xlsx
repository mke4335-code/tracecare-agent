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Links" sheetId="1" state="visible" r:id="rId1"/>
    <sheet xmlns:r="http://schemas.openxmlformats.org/officeDocument/2006/relationships" name="Participant Groups" sheetId="2" state="visible" r:id="rId2"/>
    <sheet xmlns:r="http://schemas.openxmlformats.org/officeDocument/2006/relationships" name="Task Scoring Key" sheetId="3" state="visible" r:id="rId3"/>
    <sheet xmlns:r="http://schemas.openxmlformats.org/officeDocument/2006/relationships" name="Block Survey Import" sheetId="4" state="visible" r:id="rId4"/>
    <sheet xmlns:r="http://schemas.openxmlformats.org/officeDocument/2006/relationships" name="Participant Summary" sheetId="5" state="visible" r:id="rId5"/>
    <sheet xmlns:r="http://schemas.openxmlformats.org/officeDocument/2006/relationships" name="How to U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2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6" customWidth="1" min="2" max="2"/>
  </cols>
  <sheetData>
    <row r="1">
      <c r="A1" s="1" t="inlineStr">
        <is>
          <t>Item</t>
        </is>
      </c>
      <c r="B1" s="1" t="inlineStr">
        <is>
          <t>Link</t>
        </is>
      </c>
    </row>
    <row r="2">
      <c r="A2" t="inlineStr">
        <is>
          <t>Task guide</t>
        </is>
      </c>
      <c r="B2" t="inlineStr">
        <is>
          <t>https://tracecare-agent.vercel.app/traceguide-task-guide</t>
        </is>
      </c>
    </row>
    <row r="3">
      <c r="A3" t="inlineStr">
        <is>
          <t>Prototype A — Baseline</t>
        </is>
      </c>
      <c r="B3" t="inlineStr">
        <is>
          <t>https://tracecare-agent.vercel.app/traceguide-baseline</t>
        </is>
      </c>
    </row>
    <row r="4">
      <c r="A4" t="inlineStr">
        <is>
          <t>Prototype B — TraceGuide</t>
        </is>
      </c>
      <c r="B4" t="inlineStr">
        <is>
          <t>https://tracecare-agent.vercel.app/traceguide-demo</t>
        </is>
      </c>
    </row>
    <row r="5">
      <c r="A5" t="inlineStr">
        <is>
          <t>Pre-test form</t>
        </is>
      </c>
      <c r="B5" t="inlineStr">
        <is>
          <t>https://docs.google.com/forms/d/e/1FAIpQLScrneO36mqJVbtJZ9PlMn1DSuPzFt77rinRhVhUHIFh1CzRfQ/viewform</t>
        </is>
      </c>
    </row>
    <row r="6">
      <c r="A6" t="inlineStr">
        <is>
          <t>Version Block Survey</t>
        </is>
      </c>
      <c r="B6" t="inlineStr">
        <is>
          <t>https://docs.google.com/forms/d/e/1FAIpQLSdgSdvrcQfdMyyU6cYt_zrGJrzSxT6iB8Nkx4nd075HlfywIA/viewform</t>
        </is>
      </c>
    </row>
    <row r="7">
      <c r="A7" t="inlineStr">
        <is>
          <t>Final Comparison</t>
        </is>
      </c>
      <c r="B7" t="inlineStr">
        <is>
          <t>https://docs.google.com/forms/d/e/1FAIpQLSe8tekTmhJ7O6h7WzB2jHDnh90zjuQ-2RZ6d96yvvEMSxeqcw/viewform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8" customWidth="1" min="4" max="4"/>
    <col width="46" customWidth="1" min="5" max="5"/>
  </cols>
  <sheetData>
    <row r="1">
      <c r="A1" s="1" t="inlineStr">
        <is>
          <t>Group</t>
        </is>
      </c>
      <c r="B1" s="1" t="inlineStr">
        <is>
          <t>Order</t>
        </is>
      </c>
      <c r="C1" s="1" t="inlineStr">
        <is>
          <t>First block</t>
        </is>
      </c>
      <c r="D1" s="1" t="inlineStr">
        <is>
          <t>Second block</t>
        </is>
      </c>
      <c r="E1" s="1" t="inlineStr">
        <is>
          <t>Participant codes</t>
        </is>
      </c>
    </row>
    <row r="2">
      <c r="A2" t="inlineStr">
        <is>
          <t>G1</t>
        </is>
      </c>
      <c r="B2" t="inlineStr">
        <is>
          <t>Baseline Set 1 → TraceGuide Set 2</t>
        </is>
      </c>
      <c r="C2" t="inlineStr">
        <is>
          <t>A: S1-T1, S1-T2</t>
        </is>
      </c>
      <c r="D2" t="inlineStr">
        <is>
          <t>B: S2-T1, S2-T2</t>
        </is>
      </c>
      <c r="E2" t="inlineStr">
        <is>
          <t>P01, P03, P05, P07, P09, P11, P13, P15, P17, P19</t>
        </is>
      </c>
    </row>
    <row r="3">
      <c r="A3" t="inlineStr">
        <is>
          <t>G2</t>
        </is>
      </c>
      <c r="B3" t="inlineStr">
        <is>
          <t>TraceGuide Set 1 → Baseline Set 2</t>
        </is>
      </c>
      <c r="C3" t="inlineStr">
        <is>
          <t>B: S1-T1, S1-T2</t>
        </is>
      </c>
      <c r="D3" t="inlineStr">
        <is>
          <t>A: S2-T1, S2-T2</t>
        </is>
      </c>
      <c r="E3" t="inlineStr">
        <is>
          <t>P02, P04, P06, P08, P10, P12, P14, P16, P18, P20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</cols>
  <sheetData>
    <row r="1">
      <c r="A1" s="1" t="inlineStr">
        <is>
          <t>Task ID</t>
        </is>
      </c>
      <c r="B1" s="1" t="inlineStr">
        <is>
          <t>Score 2 next step</t>
        </is>
      </c>
      <c r="C1" s="1" t="inlineStr">
        <is>
          <t>Score 1 next step</t>
        </is>
      </c>
      <c r="D1" s="1" t="inlineStr">
        <is>
          <t>Score 0 next step</t>
        </is>
      </c>
    </row>
    <row r="2">
      <c r="A2" t="inlineStr">
        <is>
          <t>S1-T1 Milk Cookies peanut allergy</t>
        </is>
      </c>
      <c r="B2" t="inlineStr">
        <is>
          <t>Follow AI advice and not eat / Ask human support if unsure</t>
        </is>
      </c>
      <c r="C2" t="inlineStr">
        <is>
          <t>Check more information first / I am not sure</t>
        </is>
      </c>
      <c r="D2" t="inlineStr">
        <is>
          <t>Still eat the product</t>
        </is>
      </c>
    </row>
    <row r="3">
      <c r="A3" t="inlineStr">
        <is>
          <t>S1-T2 Glass Lunch Box arrived damaged</t>
        </is>
      </c>
      <c r="B3" t="inlineStr">
        <is>
          <t>Authorise the agent to prepare the request</t>
        </is>
      </c>
      <c r="C3" t="inlineStr">
        <is>
          <t>Check more information first / Ask human support / I am not sure</t>
        </is>
      </c>
      <c r="D3" t="inlineStr">
        <is>
          <t>Do not continue despite eligible damaged item</t>
        </is>
      </c>
    </row>
    <row r="4">
      <c r="A4" t="inlineStr">
        <is>
          <t>S2-T1 Protein Bar peanut allergy</t>
        </is>
      </c>
      <c r="B4" t="inlineStr">
        <is>
          <t>Follow AI advice and not eat / Ask human support if unsure</t>
        </is>
      </c>
      <c r="C4" t="inlineStr">
        <is>
          <t>Check more information first / I am not sure</t>
        </is>
      </c>
      <c r="D4" t="inlineStr">
        <is>
          <t>Still eat the product</t>
        </is>
      </c>
    </row>
    <row r="5">
      <c r="A5" t="inlineStr">
        <is>
          <t>S2-T2 Snack Package damaged, photo not added</t>
        </is>
      </c>
      <c r="B5" t="inlineStr">
        <is>
          <t>Add photo/evidence first / Ask human support</t>
        </is>
      </c>
      <c r="C5" t="inlineStr">
        <is>
          <t>Check more information first / I am not sure</t>
        </is>
      </c>
      <c r="D5" t="inlineStr">
        <is>
          <t>Authorise the agent to prepare the request without evidence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15" customWidth="1" min="4" max="4"/>
    <col width="14" customWidth="1" min="5" max="5"/>
    <col width="19" customWidth="1" min="6" max="6"/>
    <col width="15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32" customWidth="1" min="13" max="13"/>
    <col width="16" customWidth="1" min="14" max="14"/>
    <col width="14" customWidth="1" min="15" max="15"/>
    <col width="19" customWidth="1" min="16" max="16"/>
    <col width="15" customWidth="1" min="17" max="17"/>
    <col width="14" customWidth="1" min="18" max="18"/>
    <col width="20" customWidth="1" min="19" max="19"/>
    <col width="14" customWidth="1" min="20" max="20"/>
    <col width="14" customWidth="1" min="21" max="21"/>
    <col width="14" customWidth="1" min="22" max="22"/>
    <col width="32" customWidth="1" min="23" max="23"/>
    <col width="16" customWidth="1" min="24" max="24"/>
    <col width="32" customWidth="1" min="25" max="25"/>
    <col width="34" customWidth="1" min="26" max="26"/>
    <col width="32" customWidth="1" min="27" max="27"/>
    <col width="32" customWidth="1" min="28" max="28"/>
    <col width="32" customWidth="1" min="29" max="29"/>
    <col width="14" customWidth="1" min="30" max="30"/>
    <col width="20" customWidth="1" min="31" max="31"/>
    <col width="34" customWidth="1" min="32" max="32"/>
    <col width="23" customWidth="1" min="33" max="33"/>
    <col width="14" customWidth="1" min="34" max="34"/>
  </cols>
  <sheetData>
    <row r="1">
      <c r="A1" s="1" t="inlineStr">
        <is>
          <t>Participant code</t>
        </is>
      </c>
      <c r="B1" s="1" t="inlineStr">
        <is>
          <t>Sequence group</t>
        </is>
      </c>
      <c r="C1" s="1" t="inlineStr">
        <is>
          <t>Condition</t>
        </is>
      </c>
      <c r="D1" s="1" t="inlineStr">
        <is>
          <t>Scenario set</t>
        </is>
      </c>
      <c r="E1" s="1" t="inlineStr">
        <is>
          <t>Task 1 ID</t>
        </is>
      </c>
      <c r="F1" s="1" t="inlineStr">
        <is>
          <t>Task 1 next step</t>
        </is>
      </c>
      <c r="G1" s="1" t="inlineStr">
        <is>
          <t>Task 1 score</t>
        </is>
      </c>
      <c r="H1" s="1" t="inlineStr">
        <is>
          <t>Task 1 ease</t>
        </is>
      </c>
      <c r="I1" s="1" t="inlineStr">
        <is>
          <t>Task 1 confidence</t>
        </is>
      </c>
      <c r="J1" s="1" t="inlineStr">
        <is>
          <t>Task 1 ASQ1</t>
        </is>
      </c>
      <c r="K1" s="1" t="inlineStr">
        <is>
          <t>Task 1 ASQ2</t>
        </is>
      </c>
      <c r="L1" s="1" t="inlineStr">
        <is>
          <t>Task 1 ASQ3</t>
        </is>
      </c>
      <c r="M1" s="1" t="inlineStr">
        <is>
          <t>Task 1 ASQ mean</t>
        </is>
      </c>
      <c r="N1" s="1" t="inlineStr">
        <is>
          <t>Task 1 reason</t>
        </is>
      </c>
      <c r="O1" s="1" t="inlineStr">
        <is>
          <t>Task 2 ID</t>
        </is>
      </c>
      <c r="P1" s="1" t="inlineStr">
        <is>
          <t>Task 2 next step</t>
        </is>
      </c>
      <c r="Q1" s="1" t="inlineStr">
        <is>
          <t>Task 2 score</t>
        </is>
      </c>
      <c r="R1" s="1" t="inlineStr">
        <is>
          <t>Task 2 ease</t>
        </is>
      </c>
      <c r="S1" s="1" t="inlineStr">
        <is>
          <t>Task 2 confidence</t>
        </is>
      </c>
      <c r="T1" s="1" t="inlineStr">
        <is>
          <t>Task 2 ASQ1</t>
        </is>
      </c>
      <c r="U1" s="1" t="inlineStr">
        <is>
          <t>Task 2 ASQ2</t>
        </is>
      </c>
      <c r="V1" s="1" t="inlineStr">
        <is>
          <t>Task 2 ASQ3</t>
        </is>
      </c>
      <c r="W1" s="1" t="inlineStr">
        <is>
          <t>Task 2 ASQ mean</t>
        </is>
      </c>
      <c r="X1" s="1" t="inlineStr">
        <is>
          <t>Task 2 reason</t>
        </is>
      </c>
      <c r="Y1" s="1" t="inlineStr">
        <is>
          <t>Decision mean</t>
        </is>
      </c>
      <c r="Z1" s="1" t="inlineStr">
        <is>
          <t>Decision correct count</t>
        </is>
      </c>
      <c r="AA1" s="1" t="inlineStr">
        <is>
          <t>Ease mean</t>
        </is>
      </c>
      <c r="AB1" s="1" t="inlineStr">
        <is>
          <t>Confidence mean</t>
        </is>
      </c>
      <c r="AC1" s="1" t="inlineStr">
        <is>
          <t>ASQ mean</t>
        </is>
      </c>
      <c r="AD1" s="1" t="inlineStr">
        <is>
          <t>SUS score</t>
        </is>
      </c>
      <c r="AE1" s="1" t="inlineStr">
        <is>
          <t>Raw NASA-TLX mean</t>
        </is>
      </c>
      <c r="AF1" s="1" t="inlineStr">
        <is>
          <t>Perceived decision support mean</t>
        </is>
      </c>
      <c r="AG1" s="1" t="inlineStr">
        <is>
          <t>TraceGuide item mean</t>
        </is>
      </c>
      <c r="AH1" s="1" t="inlineStr">
        <is>
          <t>Notes</t>
        </is>
      </c>
    </row>
    <row r="2">
      <c r="M2">
        <f>IFERROR(AVERAGE(J2:L2),"")</f>
        <v/>
      </c>
      <c r="W2">
        <f>IFERROR(AVERAGE(T2:V2),"")</f>
        <v/>
      </c>
      <c r="Y2">
        <f>IFERROR(AVERAGE(G2,Q2),"")</f>
        <v/>
      </c>
      <c r="Z2">
        <f>IFERROR(COUNTIF(G2:Q2,2),"")</f>
        <v/>
      </c>
      <c r="AA2">
        <f>IFERROR(AVERAGE(H2,R2),"")</f>
        <v/>
      </c>
      <c r="AB2">
        <f>IFERROR(AVERAGE(I2,S2),"")</f>
        <v/>
      </c>
      <c r="AC2">
        <f>IFERROR(AVERAGE(M2,W2),"")</f>
        <v/>
      </c>
    </row>
    <row r="3">
      <c r="M3">
        <f>IFERROR(AVERAGE(J3:L3),"")</f>
        <v/>
      </c>
      <c r="W3">
        <f>IFERROR(AVERAGE(T3:V3),"")</f>
        <v/>
      </c>
      <c r="Y3">
        <f>IFERROR(AVERAGE(G3,Q3),"")</f>
        <v/>
      </c>
      <c r="Z3">
        <f>IFERROR(COUNTIF(G3:Q3,2),"")</f>
        <v/>
      </c>
      <c r="AA3">
        <f>IFERROR(AVERAGE(H3,R3),"")</f>
        <v/>
      </c>
      <c r="AB3">
        <f>IFERROR(AVERAGE(I3,S3),"")</f>
        <v/>
      </c>
      <c r="AC3">
        <f>IFERROR(AVERAGE(M3,W3),"")</f>
        <v/>
      </c>
    </row>
    <row r="4">
      <c r="M4">
        <f>IFERROR(AVERAGE(J4:L4),"")</f>
        <v/>
      </c>
      <c r="W4">
        <f>IFERROR(AVERAGE(T4:V4),"")</f>
        <v/>
      </c>
      <c r="Y4">
        <f>IFERROR(AVERAGE(G4,Q4),"")</f>
        <v/>
      </c>
      <c r="Z4">
        <f>IFERROR(COUNTIF(G4:Q4,2),"")</f>
        <v/>
      </c>
      <c r="AA4">
        <f>IFERROR(AVERAGE(H4,R4),"")</f>
        <v/>
      </c>
      <c r="AB4">
        <f>IFERROR(AVERAGE(I4,S4),"")</f>
        <v/>
      </c>
      <c r="AC4">
        <f>IFERROR(AVERAGE(M4,W4),"")</f>
        <v/>
      </c>
    </row>
    <row r="5">
      <c r="M5">
        <f>IFERROR(AVERAGE(J5:L5),"")</f>
        <v/>
      </c>
      <c r="W5">
        <f>IFERROR(AVERAGE(T5:V5),"")</f>
        <v/>
      </c>
      <c r="Y5">
        <f>IFERROR(AVERAGE(G5,Q5),"")</f>
        <v/>
      </c>
      <c r="Z5">
        <f>IFERROR(COUNTIF(G5:Q5,2),"")</f>
        <v/>
      </c>
      <c r="AA5">
        <f>IFERROR(AVERAGE(H5,R5),"")</f>
        <v/>
      </c>
      <c r="AB5">
        <f>IFERROR(AVERAGE(I5,S5),"")</f>
        <v/>
      </c>
      <c r="AC5">
        <f>IFERROR(AVERAGE(M5,W5),"")</f>
        <v/>
      </c>
    </row>
    <row r="6">
      <c r="M6">
        <f>IFERROR(AVERAGE(J6:L6),"")</f>
        <v/>
      </c>
      <c r="W6">
        <f>IFERROR(AVERAGE(T6:V6),"")</f>
        <v/>
      </c>
      <c r="Y6">
        <f>IFERROR(AVERAGE(G6,Q6),"")</f>
        <v/>
      </c>
      <c r="Z6">
        <f>IFERROR(COUNTIF(G6:Q6,2),"")</f>
        <v/>
      </c>
      <c r="AA6">
        <f>IFERROR(AVERAGE(H6,R6),"")</f>
        <v/>
      </c>
      <c r="AB6">
        <f>IFERROR(AVERAGE(I6,S6),"")</f>
        <v/>
      </c>
      <c r="AC6">
        <f>IFERROR(AVERAGE(M6,W6),"")</f>
        <v/>
      </c>
    </row>
    <row r="7">
      <c r="M7">
        <f>IFERROR(AVERAGE(J7:L7),"")</f>
        <v/>
      </c>
      <c r="W7">
        <f>IFERROR(AVERAGE(T7:V7),"")</f>
        <v/>
      </c>
      <c r="Y7">
        <f>IFERROR(AVERAGE(G7,Q7),"")</f>
        <v/>
      </c>
      <c r="Z7">
        <f>IFERROR(COUNTIF(G7:Q7,2),"")</f>
        <v/>
      </c>
      <c r="AA7">
        <f>IFERROR(AVERAGE(H7,R7),"")</f>
        <v/>
      </c>
      <c r="AB7">
        <f>IFERROR(AVERAGE(I7,S7),"")</f>
        <v/>
      </c>
      <c r="AC7">
        <f>IFERROR(AVERAGE(M7,W7),"")</f>
        <v/>
      </c>
    </row>
    <row r="8">
      <c r="M8">
        <f>IFERROR(AVERAGE(J8:L8),"")</f>
        <v/>
      </c>
      <c r="W8">
        <f>IFERROR(AVERAGE(T8:V8),"")</f>
        <v/>
      </c>
      <c r="Y8">
        <f>IFERROR(AVERAGE(G8,Q8),"")</f>
        <v/>
      </c>
      <c r="Z8">
        <f>IFERROR(COUNTIF(G8:Q8,2),"")</f>
        <v/>
      </c>
      <c r="AA8">
        <f>IFERROR(AVERAGE(H8,R8),"")</f>
        <v/>
      </c>
      <c r="AB8">
        <f>IFERROR(AVERAGE(I8,S8),"")</f>
        <v/>
      </c>
      <c r="AC8">
        <f>IFERROR(AVERAGE(M8,W8),"")</f>
        <v/>
      </c>
    </row>
    <row r="9">
      <c r="M9">
        <f>IFERROR(AVERAGE(J9:L9),"")</f>
        <v/>
      </c>
      <c r="W9">
        <f>IFERROR(AVERAGE(T9:V9),"")</f>
        <v/>
      </c>
      <c r="Y9">
        <f>IFERROR(AVERAGE(G9,Q9),"")</f>
        <v/>
      </c>
      <c r="Z9">
        <f>IFERROR(COUNTIF(G9:Q9,2),"")</f>
        <v/>
      </c>
      <c r="AA9">
        <f>IFERROR(AVERAGE(H9,R9),"")</f>
        <v/>
      </c>
      <c r="AB9">
        <f>IFERROR(AVERAGE(I9,S9),"")</f>
        <v/>
      </c>
      <c r="AC9">
        <f>IFERROR(AVERAGE(M9,W9),"")</f>
        <v/>
      </c>
    </row>
    <row r="10">
      <c r="M10">
        <f>IFERROR(AVERAGE(J10:L10),"")</f>
        <v/>
      </c>
      <c r="W10">
        <f>IFERROR(AVERAGE(T10:V10),"")</f>
        <v/>
      </c>
      <c r="Y10">
        <f>IFERROR(AVERAGE(G10,Q10),"")</f>
        <v/>
      </c>
      <c r="Z10">
        <f>IFERROR(COUNTIF(G10:Q10,2),"")</f>
        <v/>
      </c>
      <c r="AA10">
        <f>IFERROR(AVERAGE(H10,R10),"")</f>
        <v/>
      </c>
      <c r="AB10">
        <f>IFERROR(AVERAGE(I10,S10),"")</f>
        <v/>
      </c>
      <c r="AC10">
        <f>IFERROR(AVERAGE(M10,W10),"")</f>
        <v/>
      </c>
    </row>
    <row r="11">
      <c r="M11">
        <f>IFERROR(AVERAGE(J11:L11),"")</f>
        <v/>
      </c>
      <c r="W11">
        <f>IFERROR(AVERAGE(T11:V11),"")</f>
        <v/>
      </c>
      <c r="Y11">
        <f>IFERROR(AVERAGE(G11,Q11),"")</f>
        <v/>
      </c>
      <c r="Z11">
        <f>IFERROR(COUNTIF(G11:Q11,2),"")</f>
        <v/>
      </c>
      <c r="AA11">
        <f>IFERROR(AVERAGE(H11,R11),"")</f>
        <v/>
      </c>
      <c r="AB11">
        <f>IFERROR(AVERAGE(I11,S11),"")</f>
        <v/>
      </c>
      <c r="AC11">
        <f>IFERROR(AVERAGE(M11,W11),"")</f>
        <v/>
      </c>
    </row>
    <row r="12">
      <c r="M12">
        <f>IFERROR(AVERAGE(J12:L12),"")</f>
        <v/>
      </c>
      <c r="W12">
        <f>IFERROR(AVERAGE(T12:V12),"")</f>
        <v/>
      </c>
      <c r="Y12">
        <f>IFERROR(AVERAGE(G12,Q12),"")</f>
        <v/>
      </c>
      <c r="Z12">
        <f>IFERROR(COUNTIF(G12:Q12,2),"")</f>
        <v/>
      </c>
      <c r="AA12">
        <f>IFERROR(AVERAGE(H12,R12),"")</f>
        <v/>
      </c>
      <c r="AB12">
        <f>IFERROR(AVERAGE(I12,S12),"")</f>
        <v/>
      </c>
      <c r="AC12">
        <f>IFERROR(AVERAGE(M12,W12),"")</f>
        <v/>
      </c>
    </row>
    <row r="13">
      <c r="M13">
        <f>IFERROR(AVERAGE(J13:L13),"")</f>
        <v/>
      </c>
      <c r="W13">
        <f>IFERROR(AVERAGE(T13:V13),"")</f>
        <v/>
      </c>
      <c r="Y13">
        <f>IFERROR(AVERAGE(G13,Q13),"")</f>
        <v/>
      </c>
      <c r="Z13">
        <f>IFERROR(COUNTIF(G13:Q13,2),"")</f>
        <v/>
      </c>
      <c r="AA13">
        <f>IFERROR(AVERAGE(H13,R13),"")</f>
        <v/>
      </c>
      <c r="AB13">
        <f>IFERROR(AVERAGE(I13,S13),"")</f>
        <v/>
      </c>
      <c r="AC13">
        <f>IFERROR(AVERAGE(M13,W13),"")</f>
        <v/>
      </c>
    </row>
    <row r="14">
      <c r="M14">
        <f>IFERROR(AVERAGE(J14:L14),"")</f>
        <v/>
      </c>
      <c r="W14">
        <f>IFERROR(AVERAGE(T14:V14),"")</f>
        <v/>
      </c>
      <c r="Y14">
        <f>IFERROR(AVERAGE(G14,Q14),"")</f>
        <v/>
      </c>
      <c r="Z14">
        <f>IFERROR(COUNTIF(G14:Q14,2),"")</f>
        <v/>
      </c>
      <c r="AA14">
        <f>IFERROR(AVERAGE(H14,R14),"")</f>
        <v/>
      </c>
      <c r="AB14">
        <f>IFERROR(AVERAGE(I14,S14),"")</f>
        <v/>
      </c>
      <c r="AC14">
        <f>IFERROR(AVERAGE(M14,W14),"")</f>
        <v/>
      </c>
    </row>
    <row r="15">
      <c r="M15">
        <f>IFERROR(AVERAGE(J15:L15),"")</f>
        <v/>
      </c>
      <c r="W15">
        <f>IFERROR(AVERAGE(T15:V15),"")</f>
        <v/>
      </c>
      <c r="Y15">
        <f>IFERROR(AVERAGE(G15,Q15),"")</f>
        <v/>
      </c>
      <c r="Z15">
        <f>IFERROR(COUNTIF(G15:Q15,2),"")</f>
        <v/>
      </c>
      <c r="AA15">
        <f>IFERROR(AVERAGE(H15,R15),"")</f>
        <v/>
      </c>
      <c r="AB15">
        <f>IFERROR(AVERAGE(I15,S15),"")</f>
        <v/>
      </c>
      <c r="AC15">
        <f>IFERROR(AVERAGE(M15,W15),"")</f>
        <v/>
      </c>
    </row>
    <row r="16">
      <c r="M16">
        <f>IFERROR(AVERAGE(J16:L16),"")</f>
        <v/>
      </c>
      <c r="W16">
        <f>IFERROR(AVERAGE(T16:V16),"")</f>
        <v/>
      </c>
      <c r="Y16">
        <f>IFERROR(AVERAGE(G16,Q16),"")</f>
        <v/>
      </c>
      <c r="Z16">
        <f>IFERROR(COUNTIF(G16:Q16,2),"")</f>
        <v/>
      </c>
      <c r="AA16">
        <f>IFERROR(AVERAGE(H16,R16),"")</f>
        <v/>
      </c>
      <c r="AB16">
        <f>IFERROR(AVERAGE(I16,S16),"")</f>
        <v/>
      </c>
      <c r="AC16">
        <f>IFERROR(AVERAGE(M16,W16),"")</f>
        <v/>
      </c>
    </row>
    <row r="17">
      <c r="M17">
        <f>IFERROR(AVERAGE(J17:L17),"")</f>
        <v/>
      </c>
      <c r="W17">
        <f>IFERROR(AVERAGE(T17:V17),"")</f>
        <v/>
      </c>
      <c r="Y17">
        <f>IFERROR(AVERAGE(G17,Q17),"")</f>
        <v/>
      </c>
      <c r="Z17">
        <f>IFERROR(COUNTIF(G17:Q17,2),"")</f>
        <v/>
      </c>
      <c r="AA17">
        <f>IFERROR(AVERAGE(H17,R17),"")</f>
        <v/>
      </c>
      <c r="AB17">
        <f>IFERROR(AVERAGE(I17,S17),"")</f>
        <v/>
      </c>
      <c r="AC17">
        <f>IFERROR(AVERAGE(M17,W17),"")</f>
        <v/>
      </c>
    </row>
    <row r="18">
      <c r="M18">
        <f>IFERROR(AVERAGE(J18:L18),"")</f>
        <v/>
      </c>
      <c r="W18">
        <f>IFERROR(AVERAGE(T18:V18),"")</f>
        <v/>
      </c>
      <c r="Y18">
        <f>IFERROR(AVERAGE(G18,Q18),"")</f>
        <v/>
      </c>
      <c r="Z18">
        <f>IFERROR(COUNTIF(G18:Q18,2),"")</f>
        <v/>
      </c>
      <c r="AA18">
        <f>IFERROR(AVERAGE(H18,R18),"")</f>
        <v/>
      </c>
      <c r="AB18">
        <f>IFERROR(AVERAGE(I18,S18),"")</f>
        <v/>
      </c>
      <c r="AC18">
        <f>IFERROR(AVERAGE(M18,W18),"")</f>
        <v/>
      </c>
    </row>
    <row r="19">
      <c r="M19">
        <f>IFERROR(AVERAGE(J19:L19),"")</f>
        <v/>
      </c>
      <c r="W19">
        <f>IFERROR(AVERAGE(T19:V19),"")</f>
        <v/>
      </c>
      <c r="Y19">
        <f>IFERROR(AVERAGE(G19,Q19),"")</f>
        <v/>
      </c>
      <c r="Z19">
        <f>IFERROR(COUNTIF(G19:Q19,2),"")</f>
        <v/>
      </c>
      <c r="AA19">
        <f>IFERROR(AVERAGE(H19,R19),"")</f>
        <v/>
      </c>
      <c r="AB19">
        <f>IFERROR(AVERAGE(I19,S19),"")</f>
        <v/>
      </c>
      <c r="AC19">
        <f>IFERROR(AVERAGE(M19,W19),"")</f>
        <v/>
      </c>
    </row>
    <row r="20">
      <c r="M20">
        <f>IFERROR(AVERAGE(J20:L20),"")</f>
        <v/>
      </c>
      <c r="W20">
        <f>IFERROR(AVERAGE(T20:V20),"")</f>
        <v/>
      </c>
      <c r="Y20">
        <f>IFERROR(AVERAGE(G20,Q20),"")</f>
        <v/>
      </c>
      <c r="Z20">
        <f>IFERROR(COUNTIF(G20:Q20,2),"")</f>
        <v/>
      </c>
      <c r="AA20">
        <f>IFERROR(AVERAGE(H20,R20),"")</f>
        <v/>
      </c>
      <c r="AB20">
        <f>IFERROR(AVERAGE(I20,S20),"")</f>
        <v/>
      </c>
      <c r="AC20">
        <f>IFERROR(AVERAGE(M20,W20),"")</f>
        <v/>
      </c>
    </row>
    <row r="21">
      <c r="M21">
        <f>IFERROR(AVERAGE(J21:L21),"")</f>
        <v/>
      </c>
      <c r="W21">
        <f>IFERROR(AVERAGE(T21:V21),"")</f>
        <v/>
      </c>
      <c r="Y21">
        <f>IFERROR(AVERAGE(G21,Q21),"")</f>
        <v/>
      </c>
      <c r="Z21">
        <f>IFERROR(COUNTIF(G21:Q21,2),"")</f>
        <v/>
      </c>
      <c r="AA21">
        <f>IFERROR(AVERAGE(H21,R21),"")</f>
        <v/>
      </c>
      <c r="AB21">
        <f>IFERROR(AVERAGE(I21,S21),"")</f>
        <v/>
      </c>
      <c r="AC21">
        <f>IFERROR(AVERAGE(M21,W21),"")</f>
        <v/>
      </c>
    </row>
    <row r="22">
      <c r="M22">
        <f>IFERROR(AVERAGE(J22:L22),"")</f>
        <v/>
      </c>
      <c r="W22">
        <f>IFERROR(AVERAGE(T22:V22),"")</f>
        <v/>
      </c>
      <c r="Y22">
        <f>IFERROR(AVERAGE(G22,Q22),"")</f>
        <v/>
      </c>
      <c r="Z22">
        <f>IFERROR(COUNTIF(G22:Q22,2),"")</f>
        <v/>
      </c>
      <c r="AA22">
        <f>IFERROR(AVERAGE(H22,R22),"")</f>
        <v/>
      </c>
      <c r="AB22">
        <f>IFERROR(AVERAGE(I22,S22),"")</f>
        <v/>
      </c>
      <c r="AC22">
        <f>IFERROR(AVERAGE(M22,W22),"")</f>
        <v/>
      </c>
    </row>
    <row r="23">
      <c r="M23">
        <f>IFERROR(AVERAGE(J23:L23),"")</f>
        <v/>
      </c>
      <c r="W23">
        <f>IFERROR(AVERAGE(T23:V23),"")</f>
        <v/>
      </c>
      <c r="Y23">
        <f>IFERROR(AVERAGE(G23,Q23),"")</f>
        <v/>
      </c>
      <c r="Z23">
        <f>IFERROR(COUNTIF(G23:Q23,2),"")</f>
        <v/>
      </c>
      <c r="AA23">
        <f>IFERROR(AVERAGE(H23,R23),"")</f>
        <v/>
      </c>
      <c r="AB23">
        <f>IFERROR(AVERAGE(I23,S23),"")</f>
        <v/>
      </c>
      <c r="AC23">
        <f>IFERROR(AVERAGE(M23,W23),"")</f>
        <v/>
      </c>
    </row>
    <row r="24">
      <c r="M24">
        <f>IFERROR(AVERAGE(J24:L24),"")</f>
        <v/>
      </c>
      <c r="W24">
        <f>IFERROR(AVERAGE(T24:V24),"")</f>
        <v/>
      </c>
      <c r="Y24">
        <f>IFERROR(AVERAGE(G24,Q24),"")</f>
        <v/>
      </c>
      <c r="Z24">
        <f>IFERROR(COUNTIF(G24:Q24,2),"")</f>
        <v/>
      </c>
      <c r="AA24">
        <f>IFERROR(AVERAGE(H24,R24),"")</f>
        <v/>
      </c>
      <c r="AB24">
        <f>IFERROR(AVERAGE(I24,S24),"")</f>
        <v/>
      </c>
      <c r="AC24">
        <f>IFERROR(AVERAGE(M24,W24),"")</f>
        <v/>
      </c>
    </row>
    <row r="25">
      <c r="M25">
        <f>IFERROR(AVERAGE(J25:L25),"")</f>
        <v/>
      </c>
      <c r="W25">
        <f>IFERROR(AVERAGE(T25:V25),"")</f>
        <v/>
      </c>
      <c r="Y25">
        <f>IFERROR(AVERAGE(G25,Q25),"")</f>
        <v/>
      </c>
      <c r="Z25">
        <f>IFERROR(COUNTIF(G25:Q25,2),"")</f>
        <v/>
      </c>
      <c r="AA25">
        <f>IFERROR(AVERAGE(H25,R25),"")</f>
        <v/>
      </c>
      <c r="AB25">
        <f>IFERROR(AVERAGE(I25,S25),"")</f>
        <v/>
      </c>
      <c r="AC25">
        <f>IFERROR(AVERAGE(M25,W25),"")</f>
        <v/>
      </c>
    </row>
    <row r="26">
      <c r="M26">
        <f>IFERROR(AVERAGE(J26:L26),"")</f>
        <v/>
      </c>
      <c r="W26">
        <f>IFERROR(AVERAGE(T26:V26),"")</f>
        <v/>
      </c>
      <c r="Y26">
        <f>IFERROR(AVERAGE(G26,Q26),"")</f>
        <v/>
      </c>
      <c r="Z26">
        <f>IFERROR(COUNTIF(G26:Q26,2),"")</f>
        <v/>
      </c>
      <c r="AA26">
        <f>IFERROR(AVERAGE(H26,R26),"")</f>
        <v/>
      </c>
      <c r="AB26">
        <f>IFERROR(AVERAGE(I26,S26),"")</f>
        <v/>
      </c>
      <c r="AC26">
        <f>IFERROR(AVERAGE(M26,W26),"")</f>
        <v/>
      </c>
    </row>
    <row r="27">
      <c r="M27">
        <f>IFERROR(AVERAGE(J27:L27),"")</f>
        <v/>
      </c>
      <c r="W27">
        <f>IFERROR(AVERAGE(T27:V27),"")</f>
        <v/>
      </c>
      <c r="Y27">
        <f>IFERROR(AVERAGE(G27,Q27),"")</f>
        <v/>
      </c>
      <c r="Z27">
        <f>IFERROR(COUNTIF(G27:Q27,2),"")</f>
        <v/>
      </c>
      <c r="AA27">
        <f>IFERROR(AVERAGE(H27,R27),"")</f>
        <v/>
      </c>
      <c r="AB27">
        <f>IFERROR(AVERAGE(I27,S27),"")</f>
        <v/>
      </c>
      <c r="AC27">
        <f>IFERROR(AVERAGE(M27,W27),"")</f>
        <v/>
      </c>
    </row>
    <row r="28">
      <c r="M28">
        <f>IFERROR(AVERAGE(J28:L28),"")</f>
        <v/>
      </c>
      <c r="W28">
        <f>IFERROR(AVERAGE(T28:V28),"")</f>
        <v/>
      </c>
      <c r="Y28">
        <f>IFERROR(AVERAGE(G28,Q28),"")</f>
        <v/>
      </c>
      <c r="Z28">
        <f>IFERROR(COUNTIF(G28:Q28,2),"")</f>
        <v/>
      </c>
      <c r="AA28">
        <f>IFERROR(AVERAGE(H28,R28),"")</f>
        <v/>
      </c>
      <c r="AB28">
        <f>IFERROR(AVERAGE(I28,S28),"")</f>
        <v/>
      </c>
      <c r="AC28">
        <f>IFERROR(AVERAGE(M28,W28),"")</f>
        <v/>
      </c>
    </row>
    <row r="29">
      <c r="M29">
        <f>IFERROR(AVERAGE(J29:L29),"")</f>
        <v/>
      </c>
      <c r="W29">
        <f>IFERROR(AVERAGE(T29:V29),"")</f>
        <v/>
      </c>
      <c r="Y29">
        <f>IFERROR(AVERAGE(G29,Q29),"")</f>
        <v/>
      </c>
      <c r="Z29">
        <f>IFERROR(COUNTIF(G29:Q29,2),"")</f>
        <v/>
      </c>
      <c r="AA29">
        <f>IFERROR(AVERAGE(H29,R29),"")</f>
        <v/>
      </c>
      <c r="AB29">
        <f>IFERROR(AVERAGE(I29,S29),"")</f>
        <v/>
      </c>
      <c r="AC29">
        <f>IFERROR(AVERAGE(M29,W29),"")</f>
        <v/>
      </c>
    </row>
    <row r="30">
      <c r="M30">
        <f>IFERROR(AVERAGE(J30:L30),"")</f>
        <v/>
      </c>
      <c r="W30">
        <f>IFERROR(AVERAGE(T30:V30),"")</f>
        <v/>
      </c>
      <c r="Y30">
        <f>IFERROR(AVERAGE(G30,Q30),"")</f>
        <v/>
      </c>
      <c r="Z30">
        <f>IFERROR(COUNTIF(G30:Q30,2),"")</f>
        <v/>
      </c>
      <c r="AA30">
        <f>IFERROR(AVERAGE(H30,R30),"")</f>
        <v/>
      </c>
      <c r="AB30">
        <f>IFERROR(AVERAGE(I30,S30),"")</f>
        <v/>
      </c>
      <c r="AC30">
        <f>IFERROR(AVERAGE(M30,W30),"")</f>
        <v/>
      </c>
    </row>
    <row r="31">
      <c r="M31">
        <f>IFERROR(AVERAGE(J31:L31),"")</f>
        <v/>
      </c>
      <c r="W31">
        <f>IFERROR(AVERAGE(T31:V31),"")</f>
        <v/>
      </c>
      <c r="Y31">
        <f>IFERROR(AVERAGE(G31,Q31),"")</f>
        <v/>
      </c>
      <c r="Z31">
        <f>IFERROR(COUNTIF(G31:Q31,2),"")</f>
        <v/>
      </c>
      <c r="AA31">
        <f>IFERROR(AVERAGE(H31,R31),"")</f>
        <v/>
      </c>
      <c r="AB31">
        <f>IFERROR(AVERAGE(I31,S31),"")</f>
        <v/>
      </c>
      <c r="AC31">
        <f>IFERROR(AVERAGE(M31,W31),"")</f>
        <v/>
      </c>
    </row>
    <row r="32">
      <c r="M32">
        <f>IFERROR(AVERAGE(J32:L32),"")</f>
        <v/>
      </c>
      <c r="W32">
        <f>IFERROR(AVERAGE(T32:V32),"")</f>
        <v/>
      </c>
      <c r="Y32">
        <f>IFERROR(AVERAGE(G32,Q32),"")</f>
        <v/>
      </c>
      <c r="Z32">
        <f>IFERROR(COUNTIF(G32:Q32,2),"")</f>
        <v/>
      </c>
      <c r="AA32">
        <f>IFERROR(AVERAGE(H32,R32),"")</f>
        <v/>
      </c>
      <c r="AB32">
        <f>IFERROR(AVERAGE(I32,S32),"")</f>
        <v/>
      </c>
      <c r="AC32">
        <f>IFERROR(AVERAGE(M32,W32),"")</f>
        <v/>
      </c>
    </row>
    <row r="33">
      <c r="M33">
        <f>IFERROR(AVERAGE(J33:L33),"")</f>
        <v/>
      </c>
      <c r="W33">
        <f>IFERROR(AVERAGE(T33:V33),"")</f>
        <v/>
      </c>
      <c r="Y33">
        <f>IFERROR(AVERAGE(G33,Q33),"")</f>
        <v/>
      </c>
      <c r="Z33">
        <f>IFERROR(COUNTIF(G33:Q33,2),"")</f>
        <v/>
      </c>
      <c r="AA33">
        <f>IFERROR(AVERAGE(H33,R33),"")</f>
        <v/>
      </c>
      <c r="AB33">
        <f>IFERROR(AVERAGE(I33,S33),"")</f>
        <v/>
      </c>
      <c r="AC33">
        <f>IFERROR(AVERAGE(M33,W33),"")</f>
        <v/>
      </c>
    </row>
    <row r="34">
      <c r="M34">
        <f>IFERROR(AVERAGE(J34:L34),"")</f>
        <v/>
      </c>
      <c r="W34">
        <f>IFERROR(AVERAGE(T34:V34),"")</f>
        <v/>
      </c>
      <c r="Y34">
        <f>IFERROR(AVERAGE(G34,Q34),"")</f>
        <v/>
      </c>
      <c r="Z34">
        <f>IFERROR(COUNTIF(G34:Q34,2),"")</f>
        <v/>
      </c>
      <c r="AA34">
        <f>IFERROR(AVERAGE(H34,R34),"")</f>
        <v/>
      </c>
      <c r="AB34">
        <f>IFERROR(AVERAGE(I34,S34),"")</f>
        <v/>
      </c>
      <c r="AC34">
        <f>IFERROR(AVERAGE(M34,W34),"")</f>
        <v/>
      </c>
    </row>
    <row r="35">
      <c r="M35">
        <f>IFERROR(AVERAGE(J35:L35),"")</f>
        <v/>
      </c>
      <c r="W35">
        <f>IFERROR(AVERAGE(T35:V35),"")</f>
        <v/>
      </c>
      <c r="Y35">
        <f>IFERROR(AVERAGE(G35,Q35),"")</f>
        <v/>
      </c>
      <c r="Z35">
        <f>IFERROR(COUNTIF(G35:Q35,2),"")</f>
        <v/>
      </c>
      <c r="AA35">
        <f>IFERROR(AVERAGE(H35,R35),"")</f>
        <v/>
      </c>
      <c r="AB35">
        <f>IFERROR(AVERAGE(I35,S35),"")</f>
        <v/>
      </c>
      <c r="AC35">
        <f>IFERROR(AVERAGE(M35,W35),"")</f>
        <v/>
      </c>
    </row>
    <row r="36">
      <c r="M36">
        <f>IFERROR(AVERAGE(J36:L36),"")</f>
        <v/>
      </c>
      <c r="W36">
        <f>IFERROR(AVERAGE(T36:V36),"")</f>
        <v/>
      </c>
      <c r="Y36">
        <f>IFERROR(AVERAGE(G36,Q36),"")</f>
        <v/>
      </c>
      <c r="Z36">
        <f>IFERROR(COUNTIF(G36:Q36,2),"")</f>
        <v/>
      </c>
      <c r="AA36">
        <f>IFERROR(AVERAGE(H36,R36),"")</f>
        <v/>
      </c>
      <c r="AB36">
        <f>IFERROR(AVERAGE(I36,S36),"")</f>
        <v/>
      </c>
      <c r="AC36">
        <f>IFERROR(AVERAGE(M36,W36),"")</f>
        <v/>
      </c>
    </row>
    <row r="37">
      <c r="M37">
        <f>IFERROR(AVERAGE(J37:L37),"")</f>
        <v/>
      </c>
      <c r="W37">
        <f>IFERROR(AVERAGE(T37:V37),"")</f>
        <v/>
      </c>
      <c r="Y37">
        <f>IFERROR(AVERAGE(G37,Q37),"")</f>
        <v/>
      </c>
      <c r="Z37">
        <f>IFERROR(COUNTIF(G37:Q37,2),"")</f>
        <v/>
      </c>
      <c r="AA37">
        <f>IFERROR(AVERAGE(H37,R37),"")</f>
        <v/>
      </c>
      <c r="AB37">
        <f>IFERROR(AVERAGE(I37,S37),"")</f>
        <v/>
      </c>
      <c r="AC37">
        <f>IFERROR(AVERAGE(M37,W37),"")</f>
        <v/>
      </c>
    </row>
    <row r="38">
      <c r="M38">
        <f>IFERROR(AVERAGE(J38:L38),"")</f>
        <v/>
      </c>
      <c r="W38">
        <f>IFERROR(AVERAGE(T38:V38),"")</f>
        <v/>
      </c>
      <c r="Y38">
        <f>IFERROR(AVERAGE(G38,Q38),"")</f>
        <v/>
      </c>
      <c r="Z38">
        <f>IFERROR(COUNTIF(G38:Q38,2),"")</f>
        <v/>
      </c>
      <c r="AA38">
        <f>IFERROR(AVERAGE(H38,R38),"")</f>
        <v/>
      </c>
      <c r="AB38">
        <f>IFERROR(AVERAGE(I38,S38),"")</f>
        <v/>
      </c>
      <c r="AC38">
        <f>IFERROR(AVERAGE(M38,W38),"")</f>
        <v/>
      </c>
    </row>
    <row r="39">
      <c r="M39">
        <f>IFERROR(AVERAGE(J39:L39),"")</f>
        <v/>
      </c>
      <c r="W39">
        <f>IFERROR(AVERAGE(T39:V39),"")</f>
        <v/>
      </c>
      <c r="Y39">
        <f>IFERROR(AVERAGE(G39,Q39),"")</f>
        <v/>
      </c>
      <c r="Z39">
        <f>IFERROR(COUNTIF(G39:Q39,2),"")</f>
        <v/>
      </c>
      <c r="AA39">
        <f>IFERROR(AVERAGE(H39,R39),"")</f>
        <v/>
      </c>
      <c r="AB39">
        <f>IFERROR(AVERAGE(I39,S39),"")</f>
        <v/>
      </c>
      <c r="AC39">
        <f>IFERROR(AVERAGE(M39,W39),"")</f>
        <v/>
      </c>
    </row>
    <row r="40">
      <c r="M40">
        <f>IFERROR(AVERAGE(J40:L40),"")</f>
        <v/>
      </c>
      <c r="W40">
        <f>IFERROR(AVERAGE(T40:V40),"")</f>
        <v/>
      </c>
      <c r="Y40">
        <f>IFERROR(AVERAGE(G40,Q40),"")</f>
        <v/>
      </c>
      <c r="Z40">
        <f>IFERROR(COUNTIF(G40:Q40,2),"")</f>
        <v/>
      </c>
      <c r="AA40">
        <f>IFERROR(AVERAGE(H40,R40),"")</f>
        <v/>
      </c>
      <c r="AB40">
        <f>IFERROR(AVERAGE(I40,S40),"")</f>
        <v/>
      </c>
      <c r="AC40">
        <f>IFERROR(AVERAGE(M40,W40),"")</f>
        <v/>
      </c>
    </row>
    <row r="41">
      <c r="M41">
        <f>IFERROR(AVERAGE(J41:L41),"")</f>
        <v/>
      </c>
      <c r="W41">
        <f>IFERROR(AVERAGE(T41:V41),"")</f>
        <v/>
      </c>
      <c r="Y41">
        <f>IFERROR(AVERAGE(G41,Q41),"")</f>
        <v/>
      </c>
      <c r="Z41">
        <f>IFERROR(COUNTIF(G41:Q41,2),"")</f>
        <v/>
      </c>
      <c r="AA41">
        <f>IFERROR(AVERAGE(H41,R41),"")</f>
        <v/>
      </c>
      <c r="AB41">
        <f>IFERROR(AVERAGE(I41,S41),"")</f>
        <v/>
      </c>
      <c r="AC41">
        <f>IFERROR(AVERAGE(M41,W41),"")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6" customWidth="1" min="2" max="2"/>
    <col width="46" customWidth="1" min="3" max="3"/>
    <col width="23" customWidth="1" min="4" max="4"/>
    <col width="46" customWidth="1" min="5" max="5"/>
    <col width="46" customWidth="1" min="6" max="6"/>
    <col width="46" customWidth="1" min="7" max="7"/>
    <col width="46" customWidth="1" min="8" max="8"/>
    <col width="15" customWidth="1" min="9" max="9"/>
    <col width="17" customWidth="1" min="10" max="10"/>
    <col width="16" customWidth="1" min="11" max="11"/>
    <col width="18" customWidth="1" min="12" max="12"/>
    <col width="20" customWidth="1" min="13" max="13"/>
  </cols>
  <sheetData>
    <row r="1">
      <c r="A1" s="1" t="inlineStr">
        <is>
          <t>Participant code</t>
        </is>
      </c>
      <c r="B1" s="1" t="inlineStr">
        <is>
          <t>Baseline decision mean</t>
        </is>
      </c>
      <c r="C1" s="1" t="inlineStr">
        <is>
          <t>TraceGuide decision mean</t>
        </is>
      </c>
      <c r="D1" s="1" t="inlineStr">
        <is>
          <t>Difference B-A</t>
        </is>
      </c>
      <c r="E1" s="1" t="inlineStr">
        <is>
          <t>Baseline ease</t>
        </is>
      </c>
      <c r="F1" s="1" t="inlineStr">
        <is>
          <t>TraceGuide ease</t>
        </is>
      </c>
      <c r="G1" s="1" t="inlineStr">
        <is>
          <t>Baseline confidence</t>
        </is>
      </c>
      <c r="H1" s="1" t="inlineStr">
        <is>
          <t>TraceGuide confidence</t>
        </is>
      </c>
      <c r="I1" s="1" t="inlineStr">
        <is>
          <t>Baseline SUS</t>
        </is>
      </c>
      <c r="J1" s="1" t="inlineStr">
        <is>
          <t>TraceGuide SUS</t>
        </is>
      </c>
      <c r="K1" s="1" t="inlineStr">
        <is>
          <t>Baseline NASA</t>
        </is>
      </c>
      <c r="L1" s="1" t="inlineStr">
        <is>
          <t>TraceGuide NASA</t>
        </is>
      </c>
      <c r="M1" s="1" t="inlineStr">
        <is>
          <t>Preferred version</t>
        </is>
      </c>
    </row>
    <row r="2">
      <c r="A2" t="inlineStr">
        <is>
          <t>P01</t>
        </is>
      </c>
      <c r="B2">
        <f>IFERROR(AVERAGEIFS('Block Survey Import'!Y:Y,'Block Survey Import'!A:A,A2,'Block Survey Import'!C:C,"A — Baseline AI customer service"),"")</f>
        <v/>
      </c>
      <c r="C2">
        <f>IFERROR(AVERAGEIFS('Block Survey Import'!Y:Y,'Block Survey Import'!A:A,A2,'Block Survey Import'!C:C,"B — TraceGuide Agent"),"")</f>
        <v/>
      </c>
      <c r="D2">
        <f>IFERROR(C2-B2,"")</f>
        <v/>
      </c>
      <c r="E2">
        <f>IFERROR(AVERAGEIFS('Block Survey Import'!AA:AA,'Block Survey Import'!A:A,A2,'Block Survey Import'!C:C,"A — Baseline AI customer service"),"")</f>
        <v/>
      </c>
      <c r="F2">
        <f>IFERROR(AVERAGEIFS('Block Survey Import'!AA:AA,'Block Survey Import'!A:A,A2,'Block Survey Import'!C:C,"B — TraceGuide Agent"),"")</f>
        <v/>
      </c>
      <c r="G2">
        <f>IFERROR(AVERAGEIFS('Block Survey Import'!AB:AB,'Block Survey Import'!A:A,A2,'Block Survey Import'!C:C,"A — Baseline AI customer service"),"")</f>
        <v/>
      </c>
      <c r="H2">
        <f>IFERROR(AVERAGEIFS('Block Survey Import'!AB:AB,'Block Survey Import'!A:A,A2,'Block Survey Import'!C:C,"B — TraceGuide Agent"),"")</f>
        <v/>
      </c>
    </row>
    <row r="3">
      <c r="A3" t="inlineStr">
        <is>
          <t>P02</t>
        </is>
      </c>
      <c r="B3">
        <f>IFERROR(AVERAGEIFS('Block Survey Import'!Y:Y,'Block Survey Import'!A:A,A3,'Block Survey Import'!C:C,"A — Baseline AI customer service"),"")</f>
        <v/>
      </c>
      <c r="C3">
        <f>IFERROR(AVERAGEIFS('Block Survey Import'!Y:Y,'Block Survey Import'!A:A,A3,'Block Survey Import'!C:C,"B — TraceGuide Agent"),"")</f>
        <v/>
      </c>
      <c r="D3">
        <f>IFERROR(C3-B3,"")</f>
        <v/>
      </c>
      <c r="E3">
        <f>IFERROR(AVERAGEIFS('Block Survey Import'!AA:AA,'Block Survey Import'!A:A,A3,'Block Survey Import'!C:C,"A — Baseline AI customer service"),"")</f>
        <v/>
      </c>
      <c r="F3">
        <f>IFERROR(AVERAGEIFS('Block Survey Import'!AA:AA,'Block Survey Import'!A:A,A3,'Block Survey Import'!C:C,"B — TraceGuide Agent"),"")</f>
        <v/>
      </c>
      <c r="G3">
        <f>IFERROR(AVERAGEIFS('Block Survey Import'!AB:AB,'Block Survey Import'!A:A,A3,'Block Survey Import'!C:C,"A — Baseline AI customer service"),"")</f>
        <v/>
      </c>
      <c r="H3">
        <f>IFERROR(AVERAGEIFS('Block Survey Import'!AB:AB,'Block Survey Import'!A:A,A3,'Block Survey Import'!C:C,"B — TraceGuide Agent"),"")</f>
        <v/>
      </c>
    </row>
    <row r="4">
      <c r="A4" t="inlineStr">
        <is>
          <t>P03</t>
        </is>
      </c>
      <c r="B4">
        <f>IFERROR(AVERAGEIFS('Block Survey Import'!Y:Y,'Block Survey Import'!A:A,A4,'Block Survey Import'!C:C,"A — Baseline AI customer service"),"")</f>
        <v/>
      </c>
      <c r="C4">
        <f>IFERROR(AVERAGEIFS('Block Survey Import'!Y:Y,'Block Survey Import'!A:A,A4,'Block Survey Import'!C:C,"B — TraceGuide Agent"),"")</f>
        <v/>
      </c>
      <c r="D4">
        <f>IFERROR(C4-B4,"")</f>
        <v/>
      </c>
      <c r="E4">
        <f>IFERROR(AVERAGEIFS('Block Survey Import'!AA:AA,'Block Survey Import'!A:A,A4,'Block Survey Import'!C:C,"A — Baseline AI customer service"),"")</f>
        <v/>
      </c>
      <c r="F4">
        <f>IFERROR(AVERAGEIFS('Block Survey Import'!AA:AA,'Block Survey Import'!A:A,A4,'Block Survey Import'!C:C,"B — TraceGuide Agent"),"")</f>
        <v/>
      </c>
      <c r="G4">
        <f>IFERROR(AVERAGEIFS('Block Survey Import'!AB:AB,'Block Survey Import'!A:A,A4,'Block Survey Import'!C:C,"A — Baseline AI customer service"),"")</f>
        <v/>
      </c>
      <c r="H4">
        <f>IFERROR(AVERAGEIFS('Block Survey Import'!AB:AB,'Block Survey Import'!A:A,A4,'Block Survey Import'!C:C,"B — TraceGuide Agent"),"")</f>
        <v/>
      </c>
    </row>
    <row r="5">
      <c r="A5" t="inlineStr">
        <is>
          <t>P04</t>
        </is>
      </c>
      <c r="B5">
        <f>IFERROR(AVERAGEIFS('Block Survey Import'!Y:Y,'Block Survey Import'!A:A,A5,'Block Survey Import'!C:C,"A — Baseline AI customer service"),"")</f>
        <v/>
      </c>
      <c r="C5">
        <f>IFERROR(AVERAGEIFS('Block Survey Import'!Y:Y,'Block Survey Import'!A:A,A5,'Block Survey Import'!C:C,"B — TraceGuide Agent"),"")</f>
        <v/>
      </c>
      <c r="D5">
        <f>IFERROR(C5-B5,"")</f>
        <v/>
      </c>
      <c r="E5">
        <f>IFERROR(AVERAGEIFS('Block Survey Import'!AA:AA,'Block Survey Import'!A:A,A5,'Block Survey Import'!C:C,"A — Baseline AI customer service"),"")</f>
        <v/>
      </c>
      <c r="F5">
        <f>IFERROR(AVERAGEIFS('Block Survey Import'!AA:AA,'Block Survey Import'!A:A,A5,'Block Survey Import'!C:C,"B — TraceGuide Agent"),"")</f>
        <v/>
      </c>
      <c r="G5">
        <f>IFERROR(AVERAGEIFS('Block Survey Import'!AB:AB,'Block Survey Import'!A:A,A5,'Block Survey Import'!C:C,"A — Baseline AI customer service"),"")</f>
        <v/>
      </c>
      <c r="H5">
        <f>IFERROR(AVERAGEIFS('Block Survey Import'!AB:AB,'Block Survey Import'!A:A,A5,'Block Survey Import'!C:C,"B — TraceGuide Agent"),"")</f>
        <v/>
      </c>
    </row>
    <row r="6">
      <c r="A6" t="inlineStr">
        <is>
          <t>P05</t>
        </is>
      </c>
      <c r="B6">
        <f>IFERROR(AVERAGEIFS('Block Survey Import'!Y:Y,'Block Survey Import'!A:A,A6,'Block Survey Import'!C:C,"A — Baseline AI customer service"),"")</f>
        <v/>
      </c>
      <c r="C6">
        <f>IFERROR(AVERAGEIFS('Block Survey Import'!Y:Y,'Block Survey Import'!A:A,A6,'Block Survey Import'!C:C,"B — TraceGuide Agent"),"")</f>
        <v/>
      </c>
      <c r="D6">
        <f>IFERROR(C6-B6,"")</f>
        <v/>
      </c>
      <c r="E6">
        <f>IFERROR(AVERAGEIFS('Block Survey Import'!AA:AA,'Block Survey Import'!A:A,A6,'Block Survey Import'!C:C,"A — Baseline AI customer service"),"")</f>
        <v/>
      </c>
      <c r="F6">
        <f>IFERROR(AVERAGEIFS('Block Survey Import'!AA:AA,'Block Survey Import'!A:A,A6,'Block Survey Import'!C:C,"B — TraceGuide Agent"),"")</f>
        <v/>
      </c>
      <c r="G6">
        <f>IFERROR(AVERAGEIFS('Block Survey Import'!AB:AB,'Block Survey Import'!A:A,A6,'Block Survey Import'!C:C,"A — Baseline AI customer service"),"")</f>
        <v/>
      </c>
      <c r="H6">
        <f>IFERROR(AVERAGEIFS('Block Survey Import'!AB:AB,'Block Survey Import'!A:A,A6,'Block Survey Import'!C:C,"B — TraceGuide Agent"),"")</f>
        <v/>
      </c>
    </row>
    <row r="7">
      <c r="A7" t="inlineStr">
        <is>
          <t>P06</t>
        </is>
      </c>
      <c r="B7">
        <f>IFERROR(AVERAGEIFS('Block Survey Import'!Y:Y,'Block Survey Import'!A:A,A7,'Block Survey Import'!C:C,"A — Baseline AI customer service"),"")</f>
        <v/>
      </c>
      <c r="C7">
        <f>IFERROR(AVERAGEIFS('Block Survey Import'!Y:Y,'Block Survey Import'!A:A,A7,'Block Survey Import'!C:C,"B — TraceGuide Agent"),"")</f>
        <v/>
      </c>
      <c r="D7">
        <f>IFERROR(C7-B7,"")</f>
        <v/>
      </c>
      <c r="E7">
        <f>IFERROR(AVERAGEIFS('Block Survey Import'!AA:AA,'Block Survey Import'!A:A,A7,'Block Survey Import'!C:C,"A — Baseline AI customer service"),"")</f>
        <v/>
      </c>
      <c r="F7">
        <f>IFERROR(AVERAGEIFS('Block Survey Import'!AA:AA,'Block Survey Import'!A:A,A7,'Block Survey Import'!C:C,"B — TraceGuide Agent"),"")</f>
        <v/>
      </c>
      <c r="G7">
        <f>IFERROR(AVERAGEIFS('Block Survey Import'!AB:AB,'Block Survey Import'!A:A,A7,'Block Survey Import'!C:C,"A — Baseline AI customer service"),"")</f>
        <v/>
      </c>
      <c r="H7">
        <f>IFERROR(AVERAGEIFS('Block Survey Import'!AB:AB,'Block Survey Import'!A:A,A7,'Block Survey Import'!C:C,"B — TraceGuide Agent"),"")</f>
        <v/>
      </c>
    </row>
    <row r="8">
      <c r="A8" t="inlineStr">
        <is>
          <t>P07</t>
        </is>
      </c>
      <c r="B8">
        <f>IFERROR(AVERAGEIFS('Block Survey Import'!Y:Y,'Block Survey Import'!A:A,A8,'Block Survey Import'!C:C,"A — Baseline AI customer service"),"")</f>
        <v/>
      </c>
      <c r="C8">
        <f>IFERROR(AVERAGEIFS('Block Survey Import'!Y:Y,'Block Survey Import'!A:A,A8,'Block Survey Import'!C:C,"B — TraceGuide Agent"),"")</f>
        <v/>
      </c>
      <c r="D8">
        <f>IFERROR(C8-B8,"")</f>
        <v/>
      </c>
      <c r="E8">
        <f>IFERROR(AVERAGEIFS('Block Survey Import'!AA:AA,'Block Survey Import'!A:A,A8,'Block Survey Import'!C:C,"A — Baseline AI customer service"),"")</f>
        <v/>
      </c>
      <c r="F8">
        <f>IFERROR(AVERAGEIFS('Block Survey Import'!AA:AA,'Block Survey Import'!A:A,A8,'Block Survey Import'!C:C,"B — TraceGuide Agent"),"")</f>
        <v/>
      </c>
      <c r="G8">
        <f>IFERROR(AVERAGEIFS('Block Survey Import'!AB:AB,'Block Survey Import'!A:A,A8,'Block Survey Import'!C:C,"A — Baseline AI customer service"),"")</f>
        <v/>
      </c>
      <c r="H8">
        <f>IFERROR(AVERAGEIFS('Block Survey Import'!AB:AB,'Block Survey Import'!A:A,A8,'Block Survey Import'!C:C,"B — TraceGuide Agent"),"")</f>
        <v/>
      </c>
    </row>
    <row r="9">
      <c r="A9" t="inlineStr">
        <is>
          <t>P08</t>
        </is>
      </c>
      <c r="B9">
        <f>IFERROR(AVERAGEIFS('Block Survey Import'!Y:Y,'Block Survey Import'!A:A,A9,'Block Survey Import'!C:C,"A — Baseline AI customer service"),"")</f>
        <v/>
      </c>
      <c r="C9">
        <f>IFERROR(AVERAGEIFS('Block Survey Import'!Y:Y,'Block Survey Import'!A:A,A9,'Block Survey Import'!C:C,"B — TraceGuide Agent"),"")</f>
        <v/>
      </c>
      <c r="D9">
        <f>IFERROR(C9-B9,"")</f>
        <v/>
      </c>
      <c r="E9">
        <f>IFERROR(AVERAGEIFS('Block Survey Import'!AA:AA,'Block Survey Import'!A:A,A9,'Block Survey Import'!C:C,"A — Baseline AI customer service"),"")</f>
        <v/>
      </c>
      <c r="F9">
        <f>IFERROR(AVERAGEIFS('Block Survey Import'!AA:AA,'Block Survey Import'!A:A,A9,'Block Survey Import'!C:C,"B — TraceGuide Agent"),"")</f>
        <v/>
      </c>
      <c r="G9">
        <f>IFERROR(AVERAGEIFS('Block Survey Import'!AB:AB,'Block Survey Import'!A:A,A9,'Block Survey Import'!C:C,"A — Baseline AI customer service"),"")</f>
        <v/>
      </c>
      <c r="H9">
        <f>IFERROR(AVERAGEIFS('Block Survey Import'!AB:AB,'Block Survey Import'!A:A,A9,'Block Survey Import'!C:C,"B — TraceGuide Agent"),"")</f>
        <v/>
      </c>
    </row>
    <row r="10">
      <c r="A10" t="inlineStr">
        <is>
          <t>P09</t>
        </is>
      </c>
      <c r="B10">
        <f>IFERROR(AVERAGEIFS('Block Survey Import'!Y:Y,'Block Survey Import'!A:A,A10,'Block Survey Import'!C:C,"A — Baseline AI customer service"),"")</f>
        <v/>
      </c>
      <c r="C10">
        <f>IFERROR(AVERAGEIFS('Block Survey Import'!Y:Y,'Block Survey Import'!A:A,A10,'Block Survey Import'!C:C,"B — TraceGuide Agent"),"")</f>
        <v/>
      </c>
      <c r="D10">
        <f>IFERROR(C10-B10,"")</f>
        <v/>
      </c>
      <c r="E10">
        <f>IFERROR(AVERAGEIFS('Block Survey Import'!AA:AA,'Block Survey Import'!A:A,A10,'Block Survey Import'!C:C,"A — Baseline AI customer service"),"")</f>
        <v/>
      </c>
      <c r="F10">
        <f>IFERROR(AVERAGEIFS('Block Survey Import'!AA:AA,'Block Survey Import'!A:A,A10,'Block Survey Import'!C:C,"B — TraceGuide Agent"),"")</f>
        <v/>
      </c>
      <c r="G10">
        <f>IFERROR(AVERAGEIFS('Block Survey Import'!AB:AB,'Block Survey Import'!A:A,A10,'Block Survey Import'!C:C,"A — Baseline AI customer service"),"")</f>
        <v/>
      </c>
      <c r="H10">
        <f>IFERROR(AVERAGEIFS('Block Survey Import'!AB:AB,'Block Survey Import'!A:A,A10,'Block Survey Import'!C:C,"B — TraceGuide Agent"),"")</f>
        <v/>
      </c>
    </row>
    <row r="11">
      <c r="A11" t="inlineStr">
        <is>
          <t>P10</t>
        </is>
      </c>
      <c r="B11">
        <f>IFERROR(AVERAGEIFS('Block Survey Import'!Y:Y,'Block Survey Import'!A:A,A11,'Block Survey Import'!C:C,"A — Baseline AI customer service"),"")</f>
        <v/>
      </c>
      <c r="C11">
        <f>IFERROR(AVERAGEIFS('Block Survey Import'!Y:Y,'Block Survey Import'!A:A,A11,'Block Survey Import'!C:C,"B — TraceGuide Agent"),"")</f>
        <v/>
      </c>
      <c r="D11">
        <f>IFERROR(C11-B11,"")</f>
        <v/>
      </c>
      <c r="E11">
        <f>IFERROR(AVERAGEIFS('Block Survey Import'!AA:AA,'Block Survey Import'!A:A,A11,'Block Survey Import'!C:C,"A — Baseline AI customer service"),"")</f>
        <v/>
      </c>
      <c r="F11">
        <f>IFERROR(AVERAGEIFS('Block Survey Import'!AA:AA,'Block Survey Import'!A:A,A11,'Block Survey Import'!C:C,"B — TraceGuide Agent"),"")</f>
        <v/>
      </c>
      <c r="G11">
        <f>IFERROR(AVERAGEIFS('Block Survey Import'!AB:AB,'Block Survey Import'!A:A,A11,'Block Survey Import'!C:C,"A — Baseline AI customer service"),"")</f>
        <v/>
      </c>
      <c r="H11">
        <f>IFERROR(AVERAGEIFS('Block Survey Import'!AB:AB,'Block Survey Import'!A:A,A11,'Block Survey Import'!C:C,"B — TraceGuide Agent"),"")</f>
        <v/>
      </c>
    </row>
    <row r="12">
      <c r="A12" t="inlineStr">
        <is>
          <t>P11</t>
        </is>
      </c>
      <c r="B12">
        <f>IFERROR(AVERAGEIFS('Block Survey Import'!Y:Y,'Block Survey Import'!A:A,A12,'Block Survey Import'!C:C,"A — Baseline AI customer service"),"")</f>
        <v/>
      </c>
      <c r="C12">
        <f>IFERROR(AVERAGEIFS('Block Survey Import'!Y:Y,'Block Survey Import'!A:A,A12,'Block Survey Import'!C:C,"B — TraceGuide Agent"),"")</f>
        <v/>
      </c>
      <c r="D12">
        <f>IFERROR(C12-B12,"")</f>
        <v/>
      </c>
      <c r="E12">
        <f>IFERROR(AVERAGEIFS('Block Survey Import'!AA:AA,'Block Survey Import'!A:A,A12,'Block Survey Import'!C:C,"A — Baseline AI customer service"),"")</f>
        <v/>
      </c>
      <c r="F12">
        <f>IFERROR(AVERAGEIFS('Block Survey Import'!AA:AA,'Block Survey Import'!A:A,A12,'Block Survey Import'!C:C,"B — TraceGuide Agent"),"")</f>
        <v/>
      </c>
      <c r="G12">
        <f>IFERROR(AVERAGEIFS('Block Survey Import'!AB:AB,'Block Survey Import'!A:A,A12,'Block Survey Import'!C:C,"A — Baseline AI customer service"),"")</f>
        <v/>
      </c>
      <c r="H12">
        <f>IFERROR(AVERAGEIFS('Block Survey Import'!AB:AB,'Block Survey Import'!A:A,A12,'Block Survey Import'!C:C,"B — TraceGuide Agent"),"")</f>
        <v/>
      </c>
    </row>
    <row r="13">
      <c r="A13" t="inlineStr">
        <is>
          <t>P12</t>
        </is>
      </c>
      <c r="B13">
        <f>IFERROR(AVERAGEIFS('Block Survey Import'!Y:Y,'Block Survey Import'!A:A,A13,'Block Survey Import'!C:C,"A — Baseline AI customer service"),"")</f>
        <v/>
      </c>
      <c r="C13">
        <f>IFERROR(AVERAGEIFS('Block Survey Import'!Y:Y,'Block Survey Import'!A:A,A13,'Block Survey Import'!C:C,"B — TraceGuide Agent"),"")</f>
        <v/>
      </c>
      <c r="D13">
        <f>IFERROR(C13-B13,"")</f>
        <v/>
      </c>
      <c r="E13">
        <f>IFERROR(AVERAGEIFS('Block Survey Import'!AA:AA,'Block Survey Import'!A:A,A13,'Block Survey Import'!C:C,"A — Baseline AI customer service"),"")</f>
        <v/>
      </c>
      <c r="F13">
        <f>IFERROR(AVERAGEIFS('Block Survey Import'!AA:AA,'Block Survey Import'!A:A,A13,'Block Survey Import'!C:C,"B — TraceGuide Agent"),"")</f>
        <v/>
      </c>
      <c r="G13">
        <f>IFERROR(AVERAGEIFS('Block Survey Import'!AB:AB,'Block Survey Import'!A:A,A13,'Block Survey Import'!C:C,"A — Baseline AI customer service"),"")</f>
        <v/>
      </c>
      <c r="H13">
        <f>IFERROR(AVERAGEIFS('Block Survey Import'!AB:AB,'Block Survey Import'!A:A,A13,'Block Survey Import'!C:C,"B — TraceGuide Agent"),"")</f>
        <v/>
      </c>
    </row>
    <row r="14">
      <c r="A14" t="inlineStr">
        <is>
          <t>P13</t>
        </is>
      </c>
      <c r="B14">
        <f>IFERROR(AVERAGEIFS('Block Survey Import'!Y:Y,'Block Survey Import'!A:A,A14,'Block Survey Import'!C:C,"A — Baseline AI customer service"),"")</f>
        <v/>
      </c>
      <c r="C14">
        <f>IFERROR(AVERAGEIFS('Block Survey Import'!Y:Y,'Block Survey Import'!A:A,A14,'Block Survey Import'!C:C,"B — TraceGuide Agent"),"")</f>
        <v/>
      </c>
      <c r="D14">
        <f>IFERROR(C14-B14,"")</f>
        <v/>
      </c>
      <c r="E14">
        <f>IFERROR(AVERAGEIFS('Block Survey Import'!AA:AA,'Block Survey Import'!A:A,A14,'Block Survey Import'!C:C,"A — Baseline AI customer service"),"")</f>
        <v/>
      </c>
      <c r="F14">
        <f>IFERROR(AVERAGEIFS('Block Survey Import'!AA:AA,'Block Survey Import'!A:A,A14,'Block Survey Import'!C:C,"B — TraceGuide Agent"),"")</f>
        <v/>
      </c>
      <c r="G14">
        <f>IFERROR(AVERAGEIFS('Block Survey Import'!AB:AB,'Block Survey Import'!A:A,A14,'Block Survey Import'!C:C,"A — Baseline AI customer service"),"")</f>
        <v/>
      </c>
      <c r="H14">
        <f>IFERROR(AVERAGEIFS('Block Survey Import'!AB:AB,'Block Survey Import'!A:A,A14,'Block Survey Import'!C:C,"B — TraceGuide Agent"),"")</f>
        <v/>
      </c>
    </row>
    <row r="15">
      <c r="A15" t="inlineStr">
        <is>
          <t>P14</t>
        </is>
      </c>
      <c r="B15">
        <f>IFERROR(AVERAGEIFS('Block Survey Import'!Y:Y,'Block Survey Import'!A:A,A15,'Block Survey Import'!C:C,"A — Baseline AI customer service"),"")</f>
        <v/>
      </c>
      <c r="C15">
        <f>IFERROR(AVERAGEIFS('Block Survey Import'!Y:Y,'Block Survey Import'!A:A,A15,'Block Survey Import'!C:C,"B — TraceGuide Agent"),"")</f>
        <v/>
      </c>
      <c r="D15">
        <f>IFERROR(C15-B15,"")</f>
        <v/>
      </c>
      <c r="E15">
        <f>IFERROR(AVERAGEIFS('Block Survey Import'!AA:AA,'Block Survey Import'!A:A,A15,'Block Survey Import'!C:C,"A — Baseline AI customer service"),"")</f>
        <v/>
      </c>
      <c r="F15">
        <f>IFERROR(AVERAGEIFS('Block Survey Import'!AA:AA,'Block Survey Import'!A:A,A15,'Block Survey Import'!C:C,"B — TraceGuide Agent"),"")</f>
        <v/>
      </c>
      <c r="G15">
        <f>IFERROR(AVERAGEIFS('Block Survey Import'!AB:AB,'Block Survey Import'!A:A,A15,'Block Survey Import'!C:C,"A — Baseline AI customer service"),"")</f>
        <v/>
      </c>
      <c r="H15">
        <f>IFERROR(AVERAGEIFS('Block Survey Import'!AB:AB,'Block Survey Import'!A:A,A15,'Block Survey Import'!C:C,"B — TraceGuide Agent"),"")</f>
        <v/>
      </c>
    </row>
    <row r="16">
      <c r="A16" t="inlineStr">
        <is>
          <t>P15</t>
        </is>
      </c>
      <c r="B16">
        <f>IFERROR(AVERAGEIFS('Block Survey Import'!Y:Y,'Block Survey Import'!A:A,A16,'Block Survey Import'!C:C,"A — Baseline AI customer service"),"")</f>
        <v/>
      </c>
      <c r="C16">
        <f>IFERROR(AVERAGEIFS('Block Survey Import'!Y:Y,'Block Survey Import'!A:A,A16,'Block Survey Import'!C:C,"B — TraceGuide Agent"),"")</f>
        <v/>
      </c>
      <c r="D16">
        <f>IFERROR(C16-B16,"")</f>
        <v/>
      </c>
      <c r="E16">
        <f>IFERROR(AVERAGEIFS('Block Survey Import'!AA:AA,'Block Survey Import'!A:A,A16,'Block Survey Import'!C:C,"A — Baseline AI customer service"),"")</f>
        <v/>
      </c>
      <c r="F16">
        <f>IFERROR(AVERAGEIFS('Block Survey Import'!AA:AA,'Block Survey Import'!A:A,A16,'Block Survey Import'!C:C,"B — TraceGuide Agent"),"")</f>
        <v/>
      </c>
      <c r="G16">
        <f>IFERROR(AVERAGEIFS('Block Survey Import'!AB:AB,'Block Survey Import'!A:A,A16,'Block Survey Import'!C:C,"A — Baseline AI customer service"),"")</f>
        <v/>
      </c>
      <c r="H16">
        <f>IFERROR(AVERAGEIFS('Block Survey Import'!AB:AB,'Block Survey Import'!A:A,A16,'Block Survey Import'!C:C,"B — TraceGuide Agent"),"")</f>
        <v/>
      </c>
    </row>
    <row r="17">
      <c r="A17" t="inlineStr">
        <is>
          <t>P16</t>
        </is>
      </c>
      <c r="B17">
        <f>IFERROR(AVERAGEIFS('Block Survey Import'!Y:Y,'Block Survey Import'!A:A,A17,'Block Survey Import'!C:C,"A — Baseline AI customer service"),"")</f>
        <v/>
      </c>
      <c r="C17">
        <f>IFERROR(AVERAGEIFS('Block Survey Import'!Y:Y,'Block Survey Import'!A:A,A17,'Block Survey Import'!C:C,"B — TraceGuide Agent"),"")</f>
        <v/>
      </c>
      <c r="D17">
        <f>IFERROR(C17-B17,"")</f>
        <v/>
      </c>
      <c r="E17">
        <f>IFERROR(AVERAGEIFS('Block Survey Import'!AA:AA,'Block Survey Import'!A:A,A17,'Block Survey Import'!C:C,"A — Baseline AI customer service"),"")</f>
        <v/>
      </c>
      <c r="F17">
        <f>IFERROR(AVERAGEIFS('Block Survey Import'!AA:AA,'Block Survey Import'!A:A,A17,'Block Survey Import'!C:C,"B — TraceGuide Agent"),"")</f>
        <v/>
      </c>
      <c r="G17">
        <f>IFERROR(AVERAGEIFS('Block Survey Import'!AB:AB,'Block Survey Import'!A:A,A17,'Block Survey Import'!C:C,"A — Baseline AI customer service"),"")</f>
        <v/>
      </c>
      <c r="H17">
        <f>IFERROR(AVERAGEIFS('Block Survey Import'!AB:AB,'Block Survey Import'!A:A,A17,'Block Survey Import'!C:C,"B — TraceGuide Agent"),"")</f>
        <v/>
      </c>
    </row>
    <row r="18">
      <c r="A18" t="inlineStr">
        <is>
          <t>P17</t>
        </is>
      </c>
      <c r="B18">
        <f>IFERROR(AVERAGEIFS('Block Survey Import'!Y:Y,'Block Survey Import'!A:A,A18,'Block Survey Import'!C:C,"A — Baseline AI customer service"),"")</f>
        <v/>
      </c>
      <c r="C18">
        <f>IFERROR(AVERAGEIFS('Block Survey Import'!Y:Y,'Block Survey Import'!A:A,A18,'Block Survey Import'!C:C,"B — TraceGuide Agent"),"")</f>
        <v/>
      </c>
      <c r="D18">
        <f>IFERROR(C18-B18,"")</f>
        <v/>
      </c>
      <c r="E18">
        <f>IFERROR(AVERAGEIFS('Block Survey Import'!AA:AA,'Block Survey Import'!A:A,A18,'Block Survey Import'!C:C,"A — Baseline AI customer service"),"")</f>
        <v/>
      </c>
      <c r="F18">
        <f>IFERROR(AVERAGEIFS('Block Survey Import'!AA:AA,'Block Survey Import'!A:A,A18,'Block Survey Import'!C:C,"B — TraceGuide Agent"),"")</f>
        <v/>
      </c>
      <c r="G18">
        <f>IFERROR(AVERAGEIFS('Block Survey Import'!AB:AB,'Block Survey Import'!A:A,A18,'Block Survey Import'!C:C,"A — Baseline AI customer service"),"")</f>
        <v/>
      </c>
      <c r="H18">
        <f>IFERROR(AVERAGEIFS('Block Survey Import'!AB:AB,'Block Survey Import'!A:A,A18,'Block Survey Import'!C:C,"B — TraceGuide Agent"),"")</f>
        <v/>
      </c>
    </row>
    <row r="19">
      <c r="A19" t="inlineStr">
        <is>
          <t>P18</t>
        </is>
      </c>
      <c r="B19">
        <f>IFERROR(AVERAGEIFS('Block Survey Import'!Y:Y,'Block Survey Import'!A:A,A19,'Block Survey Import'!C:C,"A — Baseline AI customer service"),"")</f>
        <v/>
      </c>
      <c r="C19">
        <f>IFERROR(AVERAGEIFS('Block Survey Import'!Y:Y,'Block Survey Import'!A:A,A19,'Block Survey Import'!C:C,"B — TraceGuide Agent"),"")</f>
        <v/>
      </c>
      <c r="D19">
        <f>IFERROR(C19-B19,"")</f>
        <v/>
      </c>
      <c r="E19">
        <f>IFERROR(AVERAGEIFS('Block Survey Import'!AA:AA,'Block Survey Import'!A:A,A19,'Block Survey Import'!C:C,"A — Baseline AI customer service"),"")</f>
        <v/>
      </c>
      <c r="F19">
        <f>IFERROR(AVERAGEIFS('Block Survey Import'!AA:AA,'Block Survey Import'!A:A,A19,'Block Survey Import'!C:C,"B — TraceGuide Agent"),"")</f>
        <v/>
      </c>
      <c r="G19">
        <f>IFERROR(AVERAGEIFS('Block Survey Import'!AB:AB,'Block Survey Import'!A:A,A19,'Block Survey Import'!C:C,"A — Baseline AI customer service"),"")</f>
        <v/>
      </c>
      <c r="H19">
        <f>IFERROR(AVERAGEIFS('Block Survey Import'!AB:AB,'Block Survey Import'!A:A,A19,'Block Survey Import'!C:C,"B — TraceGuide Agent"),"")</f>
        <v/>
      </c>
    </row>
    <row r="20">
      <c r="A20" t="inlineStr">
        <is>
          <t>P19</t>
        </is>
      </c>
      <c r="B20">
        <f>IFERROR(AVERAGEIFS('Block Survey Import'!Y:Y,'Block Survey Import'!A:A,A20,'Block Survey Import'!C:C,"A — Baseline AI customer service"),"")</f>
        <v/>
      </c>
      <c r="C20">
        <f>IFERROR(AVERAGEIFS('Block Survey Import'!Y:Y,'Block Survey Import'!A:A,A20,'Block Survey Import'!C:C,"B — TraceGuide Agent"),"")</f>
        <v/>
      </c>
      <c r="D20">
        <f>IFERROR(C20-B20,"")</f>
        <v/>
      </c>
      <c r="E20">
        <f>IFERROR(AVERAGEIFS('Block Survey Import'!AA:AA,'Block Survey Import'!A:A,A20,'Block Survey Import'!C:C,"A — Baseline AI customer service"),"")</f>
        <v/>
      </c>
      <c r="F20">
        <f>IFERROR(AVERAGEIFS('Block Survey Import'!AA:AA,'Block Survey Import'!A:A,A20,'Block Survey Import'!C:C,"B — TraceGuide Agent"),"")</f>
        <v/>
      </c>
      <c r="G20">
        <f>IFERROR(AVERAGEIFS('Block Survey Import'!AB:AB,'Block Survey Import'!A:A,A20,'Block Survey Import'!C:C,"A — Baseline AI customer service"),"")</f>
        <v/>
      </c>
      <c r="H20">
        <f>IFERROR(AVERAGEIFS('Block Survey Import'!AB:AB,'Block Survey Import'!A:A,A20,'Block Survey Import'!C:C,"B — TraceGuide Agent"),"")</f>
        <v/>
      </c>
    </row>
    <row r="21">
      <c r="A21" t="inlineStr">
        <is>
          <t>P20</t>
        </is>
      </c>
      <c r="B21">
        <f>IFERROR(AVERAGEIFS('Block Survey Import'!Y:Y,'Block Survey Import'!A:A,A21,'Block Survey Import'!C:C,"A — Baseline AI customer service"),"")</f>
        <v/>
      </c>
      <c r="C21">
        <f>IFERROR(AVERAGEIFS('Block Survey Import'!Y:Y,'Block Survey Import'!A:A,A21,'Block Survey Import'!C:C,"B — TraceGuide Agent"),"")</f>
        <v/>
      </c>
      <c r="D21">
        <f>IFERROR(C21-B21,"")</f>
        <v/>
      </c>
      <c r="E21">
        <f>IFERROR(AVERAGEIFS('Block Survey Import'!AA:AA,'Block Survey Import'!A:A,A21,'Block Survey Import'!C:C,"A — Baseline AI customer service"),"")</f>
        <v/>
      </c>
      <c r="F21">
        <f>IFERROR(AVERAGEIFS('Block Survey Import'!AA:AA,'Block Survey Import'!A:A,A21,'Block Survey Import'!C:C,"B — TraceGuide Agent"),"")</f>
        <v/>
      </c>
      <c r="G21">
        <f>IFERROR(AVERAGEIFS('Block Survey Import'!AB:AB,'Block Survey Import'!A:A,A21,'Block Survey Import'!C:C,"A — Baseline AI customer service"),"")</f>
        <v/>
      </c>
      <c r="H21">
        <f>IFERROR(AVERAGEIFS('Block Survey Import'!AB:AB,'Block Survey Import'!A:A,A21,'Block Survey Import'!C:C,"B — TraceGuide Agent"),"")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inlineStr">
        <is>
          <t>1</t>
        </is>
      </c>
      <c r="B2" t="inlineStr">
        <is>
          <t>Send the participant the task guide link and assign G1 or G2.</t>
        </is>
      </c>
    </row>
    <row r="3">
      <c r="A3" t="inlineStr">
        <is>
          <t>2</t>
        </is>
      </c>
      <c r="B3" t="inlineStr">
        <is>
          <t>Participant completes Pre-test once.</t>
        </is>
      </c>
    </row>
    <row r="4">
      <c r="A4" t="inlineStr">
        <is>
          <t>3</t>
        </is>
      </c>
      <c r="B4" t="inlineStr">
        <is>
          <t>Participant completes the first prototype version with two tasks.</t>
        </is>
      </c>
    </row>
    <row r="5">
      <c r="A5" t="inlineStr">
        <is>
          <t>4</t>
        </is>
      </c>
      <c r="B5" t="inlineStr">
        <is>
          <t>Participant completes Version Block Survey once for that version.</t>
        </is>
      </c>
    </row>
    <row r="6">
      <c r="A6" t="inlineStr">
        <is>
          <t>5</t>
        </is>
      </c>
      <c r="B6" t="inlineStr">
        <is>
          <t>Participant completes the second prototype version with two tasks.</t>
        </is>
      </c>
    </row>
    <row r="7">
      <c r="A7" t="inlineStr">
        <is>
          <t>6</t>
        </is>
      </c>
      <c r="B7" t="inlineStr">
        <is>
          <t>Participant completes Version Block Survey once for that version.</t>
        </is>
      </c>
    </row>
    <row r="8">
      <c r="A8" t="inlineStr">
        <is>
          <t>7</t>
        </is>
      </c>
      <c r="B8" t="inlineStr">
        <is>
          <t>Participant completes Final Comparison once.</t>
        </is>
      </c>
    </row>
    <row r="9">
      <c r="A9" t="inlineStr">
        <is>
          <t>8</t>
        </is>
      </c>
      <c r="B9" t="inlineStr">
        <is>
          <t>Export or copy Google Forms responses into Block Survey Import. Add Task 1 score and Task 2 score using the scoring key.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2026-07-06T18:37:33Z</dcterms:created>
  <dcterms:modified xmlns:dcterms="http://purl.org/dc/terms/" xmlns:xsi="http://www.w3.org/2001/XMLSchema-instance" xsi:type="dcterms:W3CDTF">2026-07-06T18:37:33Z</dcterms:modified>
</cp:coreProperties>
</file>